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elenalou/Documents/AutomationTest/ai rating/Scraper/report_online/"/>
    </mc:Choice>
  </mc:AlternateContent>
  <xr:revisionPtr revIDLastSave="0" documentId="13_ncr:1_{5A9478A1-1853-F14B-BE70-E85B290F9539}" xr6:coauthVersionLast="47" xr6:coauthVersionMax="47" xr10:uidLastSave="{00000000-0000-0000-0000-000000000000}"/>
  <bookViews>
    <workbookView xWindow="3940" yWindow="760" windowWidth="30240" windowHeight="17800" xr2:uid="{00000000-000D-0000-FFFF-FFFF00000000}"/>
  </bookViews>
  <sheets>
    <sheet name="Sheet1" sheetId="1" r:id="rId1"/>
  </sheets>
  <definedNames>
    <definedName name="_xlnm._FilterDatabase" localSheetId="0" hidden="1">Sheet1!$A$1:$M$78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3" i="1" l="1"/>
  <c r="C82" i="1"/>
  <c r="C81" i="1"/>
  <c r="C80" i="1"/>
  <c r="C79" i="1"/>
  <c r="C64" i="1"/>
  <c r="C63" i="1"/>
  <c r="C61" i="1"/>
  <c r="C58" i="1"/>
  <c r="C57" i="1"/>
  <c r="C55" i="1"/>
  <c r="C53" i="1"/>
  <c r="C51" i="1"/>
  <c r="C50" i="1"/>
  <c r="C48" i="1"/>
  <c r="C47" i="1"/>
  <c r="C46" i="1"/>
  <c r="C45" i="1"/>
  <c r="C44" i="1"/>
  <c r="C41" i="1"/>
  <c r="C40" i="1"/>
  <c r="C38" i="1"/>
  <c r="C37" i="1"/>
  <c r="C36" i="1"/>
  <c r="C34" i="1"/>
  <c r="C33" i="1"/>
  <c r="C31" i="1"/>
  <c r="C30" i="1"/>
  <c r="C29" i="1"/>
  <c r="C28" i="1"/>
  <c r="C27" i="1"/>
  <c r="C26" i="1"/>
  <c r="C25" i="1"/>
  <c r="C24" i="1"/>
  <c r="C23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<sst xmlns="http://schemas.openxmlformats.org/spreadsheetml/2006/main" count="401" uniqueCount="172">
  <si>
    <t>url</t>
  </si>
  <si>
    <t>总商品数量</t>
  </si>
  <si>
    <t>valid_product数量</t>
  </si>
  <si>
    <t>valid_product百分比</t>
  </si>
  <si>
    <t>category_valid数量</t>
  </si>
  <si>
    <t>category_valid百分比</t>
  </si>
  <si>
    <t>keyword_valid数量</t>
  </si>
  <si>
    <t>keyword_valid百分比</t>
  </si>
  <si>
    <t>product_需要人工复核数量</t>
  </si>
  <si>
    <t>category_需要人工复核数量</t>
  </si>
  <si>
    <t>keyword_需要人工复核数量</t>
  </si>
  <si>
    <t>http://www.davinci-smartwear.com</t>
  </si>
  <si>
    <t>100.00%</t>
  </si>
  <si>
    <t>0.00%</t>
  </si>
  <si>
    <t>83.82%</t>
  </si>
  <si>
    <t>http://www.rosenberger.com/</t>
  </si>
  <si>
    <t>34.91%</t>
  </si>
  <si>
    <t>79.25%</t>
  </si>
  <si>
    <t>https://www.paulick-thierfelder.immo/</t>
  </si>
  <si>
    <t>72.97%</t>
  </si>
  <si>
    <t>58.11%</t>
  </si>
  <si>
    <t>https://www.vliesstoff.de/</t>
  </si>
  <si>
    <t>98.51%</t>
  </si>
  <si>
    <t>80.60%</t>
  </si>
  <si>
    <t>https://www.teprosa.de/</t>
  </si>
  <si>
    <t>66.15%</t>
  </si>
  <si>
    <t>89.23%</t>
  </si>
  <si>
    <t>https://www.jet-software.com/</t>
  </si>
  <si>
    <t>85.71%</t>
  </si>
  <si>
    <t>79.37%</t>
  </si>
  <si>
    <t>http://www.schloesser-ausgezeichnet.de/</t>
  </si>
  <si>
    <t>90.16%</t>
  </si>
  <si>
    <t>http://www.pts-prueftechnik.de/</t>
  </si>
  <si>
    <t>13.11%</t>
  </si>
  <si>
    <t>86.89%</t>
  </si>
  <si>
    <t>https://www.lohmann-minerals.com/</t>
  </si>
  <si>
    <t>73.33%</t>
  </si>
  <si>
    <t>60.00%</t>
  </si>
  <si>
    <t>http://hermetec.de/</t>
  </si>
  <si>
    <t>25.86%</t>
  </si>
  <si>
    <t>72.41%</t>
  </si>
  <si>
    <t>http://www.holzkunst-kaden.de</t>
  </si>
  <si>
    <t>96.55%</t>
  </si>
  <si>
    <t>86.21%</t>
  </si>
  <si>
    <t>http://www.pjschulz.de</t>
  </si>
  <si>
    <t>70.69%</t>
  </si>
  <si>
    <t>http://naprodux.de/</t>
  </si>
  <si>
    <t>98.15%</t>
  </si>
  <si>
    <t>94.44%</t>
  </si>
  <si>
    <t>http://www.cla.ch</t>
  </si>
  <si>
    <t>91.84%</t>
  </si>
  <si>
    <t>83.67%</t>
  </si>
  <si>
    <t>http://www.koi-company.de/</t>
  </si>
  <si>
    <t>95.45%</t>
  </si>
  <si>
    <t>81.82%</t>
  </si>
  <si>
    <t>http://www.sauter-metall.com</t>
  </si>
  <si>
    <t>86.05%</t>
  </si>
  <si>
    <t>95.35%</t>
  </si>
  <si>
    <t>http://www.saline-stadtilm.de/</t>
  </si>
  <si>
    <t>97.62%</t>
  </si>
  <si>
    <t>https://www.visel.it/it/</t>
  </si>
  <si>
    <t>79.49%</t>
  </si>
  <si>
    <t>https://netzsave.co.uk/</t>
  </si>
  <si>
    <t>63.89%</t>
  </si>
  <si>
    <t>http://www.safi-valves.com</t>
  </si>
  <si>
    <t>82.86%</t>
  </si>
  <si>
    <t>http://www.conhexa.com</t>
  </si>
  <si>
    <t>8.57%</t>
  </si>
  <si>
    <t>68.57%</t>
  </si>
  <si>
    <t>http://www.coronex.de</t>
  </si>
  <si>
    <t>24.24%</t>
  </si>
  <si>
    <t>90.91%</t>
  </si>
  <si>
    <t>https://pouteou.com/</t>
  </si>
  <si>
    <t>3.12%</t>
  </si>
  <si>
    <t>http://www.koeberlein-seigert.com/</t>
  </si>
  <si>
    <t>39.29%</t>
  </si>
  <si>
    <t>75.00%</t>
  </si>
  <si>
    <t>https://www.dunyatekstil.net</t>
  </si>
  <si>
    <t>76.00%</t>
  </si>
  <si>
    <t>http://www.paul-reuter.de/</t>
  </si>
  <si>
    <t>80.00%</t>
  </si>
  <si>
    <t>88.00%</t>
  </si>
  <si>
    <t>https://www.polysoude.com/de/</t>
  </si>
  <si>
    <t>43.48%</t>
  </si>
  <si>
    <t>82.61%</t>
  </si>
  <si>
    <t>http://www.ormaserramenti.com</t>
  </si>
  <si>
    <t>https://www.topatec.de/</t>
  </si>
  <si>
    <t>http://www.memoplast.de/</t>
  </si>
  <si>
    <t>52.63%</t>
  </si>
  <si>
    <t>89.47%</t>
  </si>
  <si>
    <t>https://www.proweca.com/</t>
  </si>
  <si>
    <t>https://www.digel-sticktech.com</t>
  </si>
  <si>
    <t>93.75%</t>
  </si>
  <si>
    <t>http://www.hafnerag.ch</t>
  </si>
  <si>
    <t>https://bmo-finance.com/</t>
  </si>
  <si>
    <t>28.57%</t>
  </si>
  <si>
    <t>http://www.braendle-gmbh.de/</t>
  </si>
  <si>
    <t>78.57%</t>
  </si>
  <si>
    <t>http://www.transportband-service.de/</t>
  </si>
  <si>
    <t>http://www.haack-jalousien.de</t>
  </si>
  <si>
    <t>84.62%</t>
  </si>
  <si>
    <t>http://prinzing-brennschneidtechnik.de</t>
  </si>
  <si>
    <t>http://www.gebhard-praezisionswerkzeuge.de/</t>
  </si>
  <si>
    <t>91.67%</t>
  </si>
  <si>
    <t>http://www.verdesoft.de</t>
  </si>
  <si>
    <t>41.67%</t>
  </si>
  <si>
    <t>83.33%</t>
  </si>
  <si>
    <t>http://www.merkan.at</t>
  </si>
  <si>
    <t>https://schuwatec.com/</t>
  </si>
  <si>
    <t>9.09%</t>
  </si>
  <si>
    <t>http://www.legrom.de/</t>
  </si>
  <si>
    <t>http://www.johner-aqua-team.de/</t>
  </si>
  <si>
    <t>90.00%</t>
  </si>
  <si>
    <t>http://www.csc-nord.de/</t>
  </si>
  <si>
    <t>70.00%</t>
  </si>
  <si>
    <t>http://coppolaspa.it</t>
  </si>
  <si>
    <t>http://www.getriebedienst-altona.de/</t>
  </si>
  <si>
    <t>http://www.velent.de/</t>
  </si>
  <si>
    <t>http://www.martingroup.it</t>
  </si>
  <si>
    <t>http://www.simek.de/</t>
  </si>
  <si>
    <t>88.89%</t>
  </si>
  <si>
    <t>http://www.maier-heidenheim.com/</t>
  </si>
  <si>
    <t>44.44%</t>
  </si>
  <si>
    <t>77.78%</t>
  </si>
  <si>
    <t>https://www.siebe.at</t>
  </si>
  <si>
    <t>http://www.best-company-video.tv</t>
  </si>
  <si>
    <t>https://www.btrberlin.de/</t>
  </si>
  <si>
    <t>62.50%</t>
  </si>
  <si>
    <t>http://www.klausmueller.net/</t>
  </si>
  <si>
    <t>12.50%</t>
  </si>
  <si>
    <t>http://www.hsl-lindlar.de</t>
  </si>
  <si>
    <t>https://www.v-sinne-gin.de/lohnbrennen-private-label-gin/</t>
  </si>
  <si>
    <t>57.14%</t>
  </si>
  <si>
    <t>http://www.hoesmann.de</t>
  </si>
  <si>
    <t>14.29%</t>
  </si>
  <si>
    <t>http://www.barlettitrasporti.it</t>
  </si>
  <si>
    <t>71.43%</t>
  </si>
  <si>
    <t>http://www.scholze-germany.de</t>
  </si>
  <si>
    <t>http://www.susp.de/</t>
  </si>
  <si>
    <t>http://www.fiedler-maschinenbau.de/</t>
  </si>
  <si>
    <t>http://www.rvt-systeme.de</t>
  </si>
  <si>
    <t>http://www.kamatek.de/</t>
  </si>
  <si>
    <t>http://www.maha-praezision.de/</t>
  </si>
  <si>
    <t>http://www.esd-nuernberg.de/</t>
  </si>
  <si>
    <t>https://www.alexarredamentiristorazione.com/</t>
  </si>
  <si>
    <t>http://www.goebel-lenze.de</t>
  </si>
  <si>
    <t>25.00%</t>
  </si>
  <si>
    <t>https://autorema.com/</t>
  </si>
  <si>
    <t>http://www.marsilli.com/</t>
  </si>
  <si>
    <t>http://www.alphaservice.at/</t>
  </si>
  <si>
    <t>https://www.coucour.com/</t>
  </si>
  <si>
    <t>66.67%</t>
  </si>
  <si>
    <t>http://www.oligmbh.de</t>
  </si>
  <si>
    <t>http://www.teddington.de</t>
  </si>
  <si>
    <t>50.00%</t>
  </si>
  <si>
    <t>http://www.seal-plan.de/</t>
  </si>
  <si>
    <t>http://www.feuerungsbau-thale.de/</t>
  </si>
  <si>
    <t>http://www.torneriaromans.com</t>
  </si>
  <si>
    <t>http://www.bareiss.de/</t>
  </si>
  <si>
    <t>http://www.fichter-formtec.de</t>
  </si>
  <si>
    <t>http://www.frank-schlag.de</t>
  </si>
  <si>
    <t>http://www.hdw-diesing.de</t>
  </si>
  <si>
    <t>http://www.hoesch-granules.com</t>
  </si>
  <si>
    <t>https://www.lichtdesign-pv.de/Impressum/</t>
  </si>
  <si>
    <t>http://www.spaggiariautomazione.com/</t>
  </si>
  <si>
    <t>http://www.novotec-online.com/</t>
  </si>
  <si>
    <t>http://www.paulundco.de</t>
  </si>
  <si>
    <t>https://hoch-drei.ch/</t>
  </si>
  <si>
    <t>https://motoreducteurfrance.com/</t>
  </si>
  <si>
    <t>http://www.bechtold-group.de/</t>
  </si>
  <si>
    <t>http://www.neuberger-holz.at</t>
  </si>
  <si>
    <t>https://www.aquamuniform.it/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</si>
</sst>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AF2D0"/>
        <bgColor rgb="FFDAF2D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AF2D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8ED973"/>
      </top>
      <bottom style="thin">
        <color rgb="FF8ED973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1" applyFill="1" applyBorder="1"/>
    <xf numFmtId="0" fontId="2" fillId="0" borderId="2" xfId="1" applyBorder="1"/>
    <xf numFmtId="0" fontId="2" fillId="4" borderId="0" xfId="1" applyFill="1"/>
    <xf numFmtId="0" fontId="2" fillId="3" borderId="0" xfId="1" applyFill="1" applyBorder="1"/>
    <xf numFmtId="0" fontId="2" fillId="0" borderId="0" xfId="1" applyBorder="1"/>
    <xf numFmtId="0" fontId="2" fillId="5" borderId="2" xfId="1" applyFill="1" applyBorder="1"/>
    <xf numFmtId="0" fontId="2" fillId="4" borderId="2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koeberlein-seigert.com/" TargetMode="External"/><Relationship Id="rId21" Type="http://schemas.openxmlformats.org/officeDocument/2006/relationships/hyperlink" Target="http://www.conhexa.com/" TargetMode="External"/><Relationship Id="rId42" Type="http://schemas.openxmlformats.org/officeDocument/2006/relationships/hyperlink" Target="http://www.pjschulz.de/" TargetMode="External"/><Relationship Id="rId47" Type="http://schemas.openxmlformats.org/officeDocument/2006/relationships/hyperlink" Target="http://www.csc-nord.de/" TargetMode="External"/><Relationship Id="rId63" Type="http://schemas.openxmlformats.org/officeDocument/2006/relationships/hyperlink" Target="https://netzsave.co.uk/" TargetMode="External"/><Relationship Id="rId68" Type="http://schemas.openxmlformats.org/officeDocument/2006/relationships/hyperlink" Target="https://www.digel-sticktech.com/" TargetMode="External"/><Relationship Id="rId16" Type="http://schemas.openxmlformats.org/officeDocument/2006/relationships/hyperlink" Target="http://www.alphaservice.at/" TargetMode="External"/><Relationship Id="rId11" Type="http://schemas.openxmlformats.org/officeDocument/2006/relationships/hyperlink" Target="http://www.fiedler-maschinenbau.de/" TargetMode="External"/><Relationship Id="rId32" Type="http://schemas.openxmlformats.org/officeDocument/2006/relationships/hyperlink" Target="http://www.maha-praezision.de/" TargetMode="External"/><Relationship Id="rId37" Type="http://schemas.openxmlformats.org/officeDocument/2006/relationships/hyperlink" Target="http://www.novotec-online.com/" TargetMode="External"/><Relationship Id="rId53" Type="http://schemas.openxmlformats.org/officeDocument/2006/relationships/hyperlink" Target="http://www.seal-plan.de/" TargetMode="External"/><Relationship Id="rId58" Type="http://schemas.openxmlformats.org/officeDocument/2006/relationships/hyperlink" Target="http://www.maier-heidenheim.com/" TargetMode="External"/><Relationship Id="rId74" Type="http://schemas.openxmlformats.org/officeDocument/2006/relationships/hyperlink" Target="https://www.polysoude.com/de/" TargetMode="External"/><Relationship Id="rId79" Type="http://schemas.openxmlformats.org/officeDocument/2006/relationships/hyperlink" Target="https://www.vliesstoff.de/" TargetMode="External"/><Relationship Id="rId5" Type="http://schemas.openxmlformats.org/officeDocument/2006/relationships/hyperlink" Target="http://www.best-company-video.tv/" TargetMode="External"/><Relationship Id="rId61" Type="http://schemas.openxmlformats.org/officeDocument/2006/relationships/hyperlink" Target="http://www.bechtold-group.de/" TargetMode="External"/><Relationship Id="rId82" Type="http://schemas.openxmlformats.org/officeDocument/2006/relationships/hyperlink" Target="http://www.getriebedienst-altona.de/" TargetMode="External"/><Relationship Id="rId19" Type="http://schemas.openxmlformats.org/officeDocument/2006/relationships/hyperlink" Target="http://www.hsl-lindlar.de/" TargetMode="External"/><Relationship Id="rId14" Type="http://schemas.openxmlformats.org/officeDocument/2006/relationships/hyperlink" Target="http://www.hdw-diesing.de/" TargetMode="External"/><Relationship Id="rId22" Type="http://schemas.openxmlformats.org/officeDocument/2006/relationships/hyperlink" Target="http://www.johner-aqua-team.de/" TargetMode="External"/><Relationship Id="rId27" Type="http://schemas.openxmlformats.org/officeDocument/2006/relationships/hyperlink" Target="http://www.gebhard-praezisionswerkzeuge.de/" TargetMode="External"/><Relationship Id="rId30" Type="http://schemas.openxmlformats.org/officeDocument/2006/relationships/hyperlink" Target="http://www.koi-company.de/" TargetMode="External"/><Relationship Id="rId35" Type="http://schemas.openxmlformats.org/officeDocument/2006/relationships/hyperlink" Target="http://www.marsilli.com/" TargetMode="External"/><Relationship Id="rId43" Type="http://schemas.openxmlformats.org/officeDocument/2006/relationships/hyperlink" Target="http://www.pts-prueftechnik.de/" TargetMode="External"/><Relationship Id="rId48" Type="http://schemas.openxmlformats.org/officeDocument/2006/relationships/hyperlink" Target="https://www.dunyatekstil.net/" TargetMode="External"/><Relationship Id="rId56" Type="http://schemas.openxmlformats.org/officeDocument/2006/relationships/hyperlink" Target="http://www.teddington.de/" TargetMode="External"/><Relationship Id="rId64" Type="http://schemas.openxmlformats.org/officeDocument/2006/relationships/hyperlink" Target="http://www.neuberger-holz.at/" TargetMode="External"/><Relationship Id="rId69" Type="http://schemas.openxmlformats.org/officeDocument/2006/relationships/hyperlink" Target="https://www.jet-software.com/" TargetMode="External"/><Relationship Id="rId77" Type="http://schemas.openxmlformats.org/officeDocument/2006/relationships/hyperlink" Target="https://www.topatec.de/" TargetMode="External"/><Relationship Id="rId8" Type="http://schemas.openxmlformats.org/officeDocument/2006/relationships/hyperlink" Target="http://www.coronex.de/" TargetMode="External"/><Relationship Id="rId51" Type="http://schemas.openxmlformats.org/officeDocument/2006/relationships/hyperlink" Target="http://www.safi-valves.com/" TargetMode="External"/><Relationship Id="rId72" Type="http://schemas.openxmlformats.org/officeDocument/2006/relationships/hyperlink" Target="http://www.velent.de/" TargetMode="External"/><Relationship Id="rId80" Type="http://schemas.openxmlformats.org/officeDocument/2006/relationships/hyperlink" Target="https://www.v-sinne-gin.de/lohnbrennen-private-label-gin/" TargetMode="External"/><Relationship Id="rId3" Type="http://schemas.openxmlformats.org/officeDocument/2006/relationships/hyperlink" Target="http://prinzing-brennschneidtechnik.de/" TargetMode="External"/><Relationship Id="rId12" Type="http://schemas.openxmlformats.org/officeDocument/2006/relationships/hyperlink" Target="http://www.frank-schlag.de/" TargetMode="External"/><Relationship Id="rId17" Type="http://schemas.openxmlformats.org/officeDocument/2006/relationships/hyperlink" Target="https://pouteou.com/" TargetMode="External"/><Relationship Id="rId25" Type="http://schemas.openxmlformats.org/officeDocument/2006/relationships/hyperlink" Target="http://www.klausmueller.net/" TargetMode="External"/><Relationship Id="rId33" Type="http://schemas.openxmlformats.org/officeDocument/2006/relationships/hyperlink" Target="http://www.spaggiariautomazione.com/" TargetMode="External"/><Relationship Id="rId38" Type="http://schemas.openxmlformats.org/officeDocument/2006/relationships/hyperlink" Target="http://www.martingroup.it/" TargetMode="External"/><Relationship Id="rId46" Type="http://schemas.openxmlformats.org/officeDocument/2006/relationships/hyperlink" Target="http://www.merkan.at/" TargetMode="External"/><Relationship Id="rId59" Type="http://schemas.openxmlformats.org/officeDocument/2006/relationships/hyperlink" Target="https://hoch-drei.ch/" TargetMode="External"/><Relationship Id="rId67" Type="http://schemas.openxmlformats.org/officeDocument/2006/relationships/hyperlink" Target="http://www.torneriaromans.com/" TargetMode="External"/><Relationship Id="rId20" Type="http://schemas.openxmlformats.org/officeDocument/2006/relationships/hyperlink" Target="http://www.holzkunst-kaden.de/" TargetMode="External"/><Relationship Id="rId41" Type="http://schemas.openxmlformats.org/officeDocument/2006/relationships/hyperlink" Target="http://www.paulundco.de/" TargetMode="External"/><Relationship Id="rId54" Type="http://schemas.openxmlformats.org/officeDocument/2006/relationships/hyperlink" Target="https://autorema.com/" TargetMode="External"/><Relationship Id="rId62" Type="http://schemas.openxmlformats.org/officeDocument/2006/relationships/hyperlink" Target="https://www.alexarredamentiristorazione.com/" TargetMode="External"/><Relationship Id="rId70" Type="http://schemas.openxmlformats.org/officeDocument/2006/relationships/hyperlink" Target="https://www.lohmann-minerals.com/" TargetMode="External"/><Relationship Id="rId75" Type="http://schemas.openxmlformats.org/officeDocument/2006/relationships/hyperlink" Target="https://www.proweca.com/" TargetMode="External"/><Relationship Id="rId1" Type="http://schemas.openxmlformats.org/officeDocument/2006/relationships/hyperlink" Target="http://hermetec.de/" TargetMode="External"/><Relationship Id="rId6" Type="http://schemas.openxmlformats.org/officeDocument/2006/relationships/hyperlink" Target="http://www.braendle-gmbh.de/" TargetMode="External"/><Relationship Id="rId15" Type="http://schemas.openxmlformats.org/officeDocument/2006/relationships/hyperlink" Target="http://www.hoesch-granules.com/" TargetMode="External"/><Relationship Id="rId23" Type="http://schemas.openxmlformats.org/officeDocument/2006/relationships/hyperlink" Target="http://www.goebel-lenze.de/" TargetMode="External"/><Relationship Id="rId28" Type="http://schemas.openxmlformats.org/officeDocument/2006/relationships/hyperlink" Target="https://www.btrberlin.de/" TargetMode="External"/><Relationship Id="rId36" Type="http://schemas.openxmlformats.org/officeDocument/2006/relationships/hyperlink" Target="http://www.memoplast.de/" TargetMode="External"/><Relationship Id="rId49" Type="http://schemas.openxmlformats.org/officeDocument/2006/relationships/hyperlink" Target="http://coppolaspa.it/" TargetMode="External"/><Relationship Id="rId57" Type="http://schemas.openxmlformats.org/officeDocument/2006/relationships/hyperlink" Target="http://www.transportband-service.de/" TargetMode="External"/><Relationship Id="rId10" Type="http://schemas.openxmlformats.org/officeDocument/2006/relationships/hyperlink" Target="http://www.fichter-formtec.de/" TargetMode="External"/><Relationship Id="rId31" Type="http://schemas.openxmlformats.org/officeDocument/2006/relationships/hyperlink" Target="http://www.legrom.de/" TargetMode="External"/><Relationship Id="rId44" Type="http://schemas.openxmlformats.org/officeDocument/2006/relationships/hyperlink" Target="http://www.rosenberger.com/" TargetMode="External"/><Relationship Id="rId52" Type="http://schemas.openxmlformats.org/officeDocument/2006/relationships/hyperlink" Target="http://www.haack-jalousien.de/" TargetMode="External"/><Relationship Id="rId60" Type="http://schemas.openxmlformats.org/officeDocument/2006/relationships/hyperlink" Target="https://motoreducteurfrance.com/" TargetMode="External"/><Relationship Id="rId65" Type="http://schemas.openxmlformats.org/officeDocument/2006/relationships/hyperlink" Target="https://www.aquamuniform.it/" TargetMode="External"/><Relationship Id="rId73" Type="http://schemas.openxmlformats.org/officeDocument/2006/relationships/hyperlink" Target="https://www.paulick-thierfelder.immo/" TargetMode="External"/><Relationship Id="rId78" Type="http://schemas.openxmlformats.org/officeDocument/2006/relationships/hyperlink" Target="https://schuwatec.com/" TargetMode="External"/><Relationship Id="rId81" Type="http://schemas.openxmlformats.org/officeDocument/2006/relationships/hyperlink" Target="https://www.visel.it/it/" TargetMode="External"/><Relationship Id="rId4" Type="http://schemas.openxmlformats.org/officeDocument/2006/relationships/hyperlink" Target="http://www.bareiss.de/" TargetMode="External"/><Relationship Id="rId9" Type="http://schemas.openxmlformats.org/officeDocument/2006/relationships/hyperlink" Target="http://www.esd-nuernberg.de/" TargetMode="External"/><Relationship Id="rId13" Type="http://schemas.openxmlformats.org/officeDocument/2006/relationships/hyperlink" Target="http://www.hafnerag.ch/" TargetMode="External"/><Relationship Id="rId18" Type="http://schemas.openxmlformats.org/officeDocument/2006/relationships/hyperlink" Target="http://www.hoesmann.de/" TargetMode="External"/><Relationship Id="rId39" Type="http://schemas.openxmlformats.org/officeDocument/2006/relationships/hyperlink" Target="http://www.ormaserramenti.com/" TargetMode="External"/><Relationship Id="rId34" Type="http://schemas.openxmlformats.org/officeDocument/2006/relationships/hyperlink" Target="http://www.scholze-germany.de/" TargetMode="External"/><Relationship Id="rId50" Type="http://schemas.openxmlformats.org/officeDocument/2006/relationships/hyperlink" Target="http://www.saline-stadtilm.de/" TargetMode="External"/><Relationship Id="rId55" Type="http://schemas.openxmlformats.org/officeDocument/2006/relationships/hyperlink" Target="http://www.simek.de/" TargetMode="External"/><Relationship Id="rId76" Type="http://schemas.openxmlformats.org/officeDocument/2006/relationships/hyperlink" Target="https://www.teprosa.de/" TargetMode="External"/><Relationship Id="rId7" Type="http://schemas.openxmlformats.org/officeDocument/2006/relationships/hyperlink" Target="http://www.cla.ch/" TargetMode="External"/><Relationship Id="rId71" Type="http://schemas.openxmlformats.org/officeDocument/2006/relationships/hyperlink" Target="http://www.susp.de/" TargetMode="External"/><Relationship Id="rId2" Type="http://schemas.openxmlformats.org/officeDocument/2006/relationships/hyperlink" Target="http://naprodux.de/" TargetMode="External"/><Relationship Id="rId29" Type="http://schemas.openxmlformats.org/officeDocument/2006/relationships/hyperlink" Target="https://www.lichtdesign-pv.de/Impressum/" TargetMode="External"/><Relationship Id="rId24" Type="http://schemas.openxmlformats.org/officeDocument/2006/relationships/hyperlink" Target="http://www.kamatek.de/" TargetMode="External"/><Relationship Id="rId40" Type="http://schemas.openxmlformats.org/officeDocument/2006/relationships/hyperlink" Target="http://www.paul-reuter.de/" TargetMode="External"/><Relationship Id="rId45" Type="http://schemas.openxmlformats.org/officeDocument/2006/relationships/hyperlink" Target="http://www.rvt-systeme.de/" TargetMode="External"/><Relationship Id="rId66" Type="http://schemas.openxmlformats.org/officeDocument/2006/relationships/hyperlink" Target="https://www.coucou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83"/>
  <sheetViews>
    <sheetView tabSelected="1" topLeftCell="A17" workbookViewId="0">
      <selection activeCell="B61" sqref="B61"/>
    </sheetView>
  </sheetViews>
  <sheetFormatPr baseColWidth="10" defaultColWidth="8.83203125" defaultRowHeight="15" x14ac:dyDescent="0.2"/>
  <cols>
    <col min="1" max="3" width="50" customWidth="1"/>
    <col min="4" max="4" width="7" customWidth="1"/>
    <col min="5" max="5" width="17" customWidth="1"/>
    <col min="6" max="7" width="18" customWidth="1"/>
    <col min="8" max="8" width="19" customWidth="1"/>
    <col min="9" max="9" width="17" customWidth="1"/>
    <col min="10" max="11" width="18" customWidth="1"/>
    <col min="12" max="12" width="19" customWidth="1"/>
    <col min="13" max="13" width="18" customWidth="1"/>
  </cols>
  <sheetData>
    <row r="1" spans="1:13" x14ac:dyDescent="0.2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">
      <c r="A2" t="s">
        <v>115</v>
      </c>
      <c r="B2" s="2" t="s">
        <v>38</v>
      </c>
      <c r="C2" s="5" t="str">
        <f>VLOOKUP(B2,$A$2:$A$83,1,FALSE)</f>
        <v>http://hermetec.de/</v>
      </c>
      <c r="D2">
        <v>10</v>
      </c>
      <c r="E2">
        <v>9</v>
      </c>
      <c r="F2" t="s">
        <v>112</v>
      </c>
      <c r="G2">
        <v>0</v>
      </c>
      <c r="H2" t="s">
        <v>13</v>
      </c>
      <c r="I2">
        <v>8</v>
      </c>
      <c r="J2" t="s">
        <v>80</v>
      </c>
      <c r="K2">
        <v>1</v>
      </c>
      <c r="L2">
        <v>10</v>
      </c>
      <c r="M2">
        <v>2</v>
      </c>
    </row>
    <row r="3" spans="1:13" x14ac:dyDescent="0.2">
      <c r="A3" t="s">
        <v>38</v>
      </c>
      <c r="B3" s="3" t="s">
        <v>46</v>
      </c>
      <c r="C3" s="5" t="str">
        <f t="shared" ref="C3:C21" si="0">VLOOKUP(B3,$A$2:$A$83,1,FALSE)</f>
        <v>http://naprodux.de/</v>
      </c>
      <c r="D3">
        <v>58</v>
      </c>
      <c r="E3">
        <v>15</v>
      </c>
      <c r="F3" t="s">
        <v>39</v>
      </c>
      <c r="G3">
        <v>0</v>
      </c>
      <c r="H3" t="s">
        <v>13</v>
      </c>
      <c r="I3">
        <v>42</v>
      </c>
      <c r="J3" t="s">
        <v>40</v>
      </c>
      <c r="K3">
        <v>43</v>
      </c>
      <c r="L3">
        <v>58</v>
      </c>
      <c r="M3">
        <v>16</v>
      </c>
    </row>
    <row r="4" spans="1:13" x14ac:dyDescent="0.2">
      <c r="A4" t="s">
        <v>46</v>
      </c>
      <c r="B4" s="2" t="s">
        <v>101</v>
      </c>
      <c r="C4" s="5" t="str">
        <f t="shared" si="0"/>
        <v>http://prinzing-brennschneidtechnik.de</v>
      </c>
      <c r="D4">
        <v>54</v>
      </c>
      <c r="E4">
        <v>53</v>
      </c>
      <c r="F4" t="s">
        <v>47</v>
      </c>
      <c r="G4">
        <v>0</v>
      </c>
      <c r="H4" t="s">
        <v>13</v>
      </c>
      <c r="I4">
        <v>51</v>
      </c>
      <c r="J4" t="s">
        <v>48</v>
      </c>
      <c r="K4">
        <v>1</v>
      </c>
      <c r="L4">
        <v>54</v>
      </c>
      <c r="M4">
        <v>3</v>
      </c>
    </row>
    <row r="5" spans="1:13" x14ac:dyDescent="0.2">
      <c r="A5" t="s">
        <v>96</v>
      </c>
      <c r="B5" s="7" t="s">
        <v>158</v>
      </c>
      <c r="C5" s="5" t="e">
        <f t="shared" si="0"/>
        <v>#N/A</v>
      </c>
      <c r="D5">
        <v>14</v>
      </c>
      <c r="E5">
        <v>11</v>
      </c>
      <c r="F5" t="s">
        <v>97</v>
      </c>
      <c r="G5">
        <v>0</v>
      </c>
      <c r="H5" t="s">
        <v>13</v>
      </c>
      <c r="I5">
        <v>14</v>
      </c>
      <c r="J5" t="s">
        <v>12</v>
      </c>
      <c r="K5">
        <v>3</v>
      </c>
      <c r="L5">
        <v>14</v>
      </c>
      <c r="M5">
        <v>0</v>
      </c>
    </row>
    <row r="6" spans="1:13" x14ac:dyDescent="0.2">
      <c r="A6" t="s">
        <v>49</v>
      </c>
      <c r="B6" s="2" t="s">
        <v>125</v>
      </c>
      <c r="C6" s="5" t="str">
        <f t="shared" si="0"/>
        <v>http://www.best-company-video.tv</v>
      </c>
      <c r="D6">
        <v>49</v>
      </c>
      <c r="E6">
        <v>45</v>
      </c>
      <c r="F6" t="s">
        <v>50</v>
      </c>
      <c r="G6">
        <v>0</v>
      </c>
      <c r="H6" t="s">
        <v>13</v>
      </c>
      <c r="I6">
        <v>41</v>
      </c>
      <c r="J6" t="s">
        <v>51</v>
      </c>
      <c r="K6">
        <v>4</v>
      </c>
      <c r="L6">
        <v>49</v>
      </c>
      <c r="M6">
        <v>8</v>
      </c>
    </row>
    <row r="7" spans="1:13" x14ac:dyDescent="0.2">
      <c r="A7" t="s">
        <v>69</v>
      </c>
      <c r="B7" s="3" t="s">
        <v>96</v>
      </c>
      <c r="C7" s="5" t="str">
        <f t="shared" si="0"/>
        <v>http://www.braendle-gmbh.de/</v>
      </c>
      <c r="D7">
        <v>33</v>
      </c>
      <c r="E7">
        <v>8</v>
      </c>
      <c r="F7" t="s">
        <v>70</v>
      </c>
      <c r="G7">
        <v>0</v>
      </c>
      <c r="H7" t="s">
        <v>13</v>
      </c>
      <c r="I7">
        <v>30</v>
      </c>
      <c r="J7" t="s">
        <v>71</v>
      </c>
      <c r="K7">
        <v>25</v>
      </c>
      <c r="L7">
        <v>33</v>
      </c>
      <c r="M7">
        <v>3</v>
      </c>
    </row>
    <row r="8" spans="1:13" x14ac:dyDescent="0.2">
      <c r="A8" t="s">
        <v>113</v>
      </c>
      <c r="B8" s="2" t="s">
        <v>49</v>
      </c>
      <c r="C8" s="5" t="str">
        <f t="shared" si="0"/>
        <v>http://www.cla.ch</v>
      </c>
      <c r="D8">
        <v>10</v>
      </c>
      <c r="E8">
        <v>9</v>
      </c>
      <c r="F8" t="s">
        <v>112</v>
      </c>
      <c r="G8">
        <v>0</v>
      </c>
      <c r="H8" t="s">
        <v>13</v>
      </c>
      <c r="I8">
        <v>7</v>
      </c>
      <c r="J8" t="s">
        <v>114</v>
      </c>
      <c r="K8">
        <v>1</v>
      </c>
      <c r="L8">
        <v>10</v>
      </c>
      <c r="M8">
        <v>3</v>
      </c>
    </row>
    <row r="9" spans="1:13" x14ac:dyDescent="0.2">
      <c r="A9" t="s">
        <v>11</v>
      </c>
      <c r="B9" s="3" t="s">
        <v>69</v>
      </c>
      <c r="C9" s="5" t="str">
        <f t="shared" si="0"/>
        <v>http://www.coronex.de</v>
      </c>
      <c r="D9">
        <v>204</v>
      </c>
      <c r="E9">
        <v>204</v>
      </c>
      <c r="F9" t="s">
        <v>12</v>
      </c>
      <c r="G9">
        <v>0</v>
      </c>
      <c r="H9" t="s">
        <v>13</v>
      </c>
      <c r="I9">
        <v>171</v>
      </c>
      <c r="J9" t="s">
        <v>14</v>
      </c>
      <c r="K9">
        <v>0</v>
      </c>
      <c r="L9">
        <v>204</v>
      </c>
      <c r="M9">
        <v>33</v>
      </c>
    </row>
    <row r="10" spans="1:13" x14ac:dyDescent="0.2">
      <c r="A10" t="s">
        <v>139</v>
      </c>
      <c r="B10" s="2" t="s">
        <v>143</v>
      </c>
      <c r="C10" s="5" t="str">
        <f t="shared" si="0"/>
        <v>http://www.esd-nuernberg.de/</v>
      </c>
      <c r="D10">
        <v>6</v>
      </c>
      <c r="E10">
        <v>5</v>
      </c>
      <c r="F10" t="s">
        <v>106</v>
      </c>
      <c r="G10">
        <v>0</v>
      </c>
      <c r="H10" t="s">
        <v>13</v>
      </c>
      <c r="I10">
        <v>5</v>
      </c>
      <c r="J10" t="s">
        <v>106</v>
      </c>
      <c r="K10">
        <v>1</v>
      </c>
      <c r="L10">
        <v>6</v>
      </c>
      <c r="M10">
        <v>1</v>
      </c>
    </row>
    <row r="11" spans="1:13" x14ac:dyDescent="0.2">
      <c r="A11" t="s">
        <v>102</v>
      </c>
      <c r="B11" s="7" t="s">
        <v>159</v>
      </c>
      <c r="C11" s="5" t="e">
        <f t="shared" si="0"/>
        <v>#N/A</v>
      </c>
      <c r="D11">
        <v>12</v>
      </c>
      <c r="E11">
        <v>11</v>
      </c>
      <c r="F11" t="s">
        <v>103</v>
      </c>
      <c r="G11">
        <v>0</v>
      </c>
      <c r="H11" t="s">
        <v>13</v>
      </c>
      <c r="I11">
        <v>12</v>
      </c>
      <c r="J11" t="s">
        <v>12</v>
      </c>
      <c r="K11">
        <v>1</v>
      </c>
      <c r="L11">
        <v>12</v>
      </c>
      <c r="M11">
        <v>0</v>
      </c>
    </row>
    <row r="12" spans="1:13" x14ac:dyDescent="0.2">
      <c r="A12" t="s">
        <v>116</v>
      </c>
      <c r="B12" s="2" t="s">
        <v>139</v>
      </c>
      <c r="C12" s="5" t="str">
        <f t="shared" si="0"/>
        <v>http://www.fiedler-maschinenbau.de/</v>
      </c>
      <c r="D12">
        <v>10</v>
      </c>
      <c r="E12">
        <v>10</v>
      </c>
      <c r="F12" t="s">
        <v>12</v>
      </c>
      <c r="G12">
        <v>0</v>
      </c>
      <c r="H12" t="s">
        <v>13</v>
      </c>
      <c r="I12">
        <v>10</v>
      </c>
      <c r="J12" t="s">
        <v>12</v>
      </c>
      <c r="K12">
        <v>0</v>
      </c>
      <c r="L12">
        <v>10</v>
      </c>
      <c r="M12">
        <v>0</v>
      </c>
    </row>
    <row r="13" spans="1:13" x14ac:dyDescent="0.2">
      <c r="A13" t="s">
        <v>99</v>
      </c>
      <c r="B13" s="8" t="s">
        <v>160</v>
      </c>
      <c r="C13" s="5" t="e">
        <f t="shared" si="0"/>
        <v>#N/A</v>
      </c>
      <c r="D13">
        <v>13</v>
      </c>
      <c r="E13">
        <v>13</v>
      </c>
      <c r="F13" t="s">
        <v>12</v>
      </c>
      <c r="G13">
        <v>0</v>
      </c>
      <c r="H13" t="s">
        <v>13</v>
      </c>
      <c r="I13">
        <v>11</v>
      </c>
      <c r="J13" t="s">
        <v>100</v>
      </c>
      <c r="K13">
        <v>0</v>
      </c>
      <c r="L13">
        <v>13</v>
      </c>
      <c r="M13">
        <v>2</v>
      </c>
    </row>
    <row r="14" spans="1:13" x14ac:dyDescent="0.2">
      <c r="A14" t="s">
        <v>93</v>
      </c>
      <c r="B14" s="2" t="s">
        <v>93</v>
      </c>
      <c r="C14" s="5" t="str">
        <f t="shared" si="0"/>
        <v>http://www.hafnerag.ch</v>
      </c>
      <c r="D14">
        <v>15</v>
      </c>
      <c r="E14">
        <v>15</v>
      </c>
      <c r="F14" t="s">
        <v>12</v>
      </c>
      <c r="G14">
        <v>0</v>
      </c>
      <c r="H14" t="s">
        <v>13</v>
      </c>
      <c r="I14">
        <v>12</v>
      </c>
      <c r="J14" t="s">
        <v>80</v>
      </c>
      <c r="K14">
        <v>0</v>
      </c>
      <c r="L14">
        <v>15</v>
      </c>
      <c r="M14">
        <v>3</v>
      </c>
    </row>
    <row r="15" spans="1:13" x14ac:dyDescent="0.2">
      <c r="A15" t="s">
        <v>41</v>
      </c>
      <c r="B15" s="8" t="s">
        <v>161</v>
      </c>
      <c r="C15" s="5" t="e">
        <f t="shared" si="0"/>
        <v>#N/A</v>
      </c>
      <c r="D15">
        <v>58</v>
      </c>
      <c r="E15">
        <v>56</v>
      </c>
      <c r="F15" t="s">
        <v>42</v>
      </c>
      <c r="G15">
        <v>0</v>
      </c>
      <c r="H15" t="s">
        <v>13</v>
      </c>
      <c r="I15">
        <v>50</v>
      </c>
      <c r="J15" t="s">
        <v>43</v>
      </c>
      <c r="K15">
        <v>2</v>
      </c>
      <c r="L15">
        <v>58</v>
      </c>
      <c r="M15">
        <v>8</v>
      </c>
    </row>
    <row r="16" spans="1:13" x14ac:dyDescent="0.2">
      <c r="A16" t="s">
        <v>130</v>
      </c>
      <c r="B16" s="7" t="s">
        <v>162</v>
      </c>
      <c r="C16" s="5" t="e">
        <f t="shared" si="0"/>
        <v>#N/A</v>
      </c>
      <c r="D16">
        <v>8</v>
      </c>
      <c r="E16">
        <v>6</v>
      </c>
      <c r="F16" t="s">
        <v>76</v>
      </c>
      <c r="G16">
        <v>0</v>
      </c>
      <c r="H16" t="s">
        <v>13</v>
      </c>
      <c r="I16">
        <v>8</v>
      </c>
      <c r="J16" t="s">
        <v>12</v>
      </c>
      <c r="K16">
        <v>2</v>
      </c>
      <c r="L16">
        <v>8</v>
      </c>
      <c r="M16">
        <v>0</v>
      </c>
    </row>
    <row r="17" spans="1:13" x14ac:dyDescent="0.2">
      <c r="A17" t="s">
        <v>111</v>
      </c>
      <c r="B17" s="3" t="s">
        <v>149</v>
      </c>
      <c r="C17" s="5" t="str">
        <f t="shared" si="0"/>
        <v>http://www.alphaservice.at/</v>
      </c>
      <c r="D17">
        <v>10</v>
      </c>
      <c r="E17">
        <v>10</v>
      </c>
      <c r="F17" t="s">
        <v>12</v>
      </c>
      <c r="G17">
        <v>0</v>
      </c>
      <c r="H17" t="s">
        <v>13</v>
      </c>
      <c r="I17">
        <v>9</v>
      </c>
      <c r="J17" t="s">
        <v>112</v>
      </c>
      <c r="K17">
        <v>0</v>
      </c>
      <c r="L17">
        <v>10</v>
      </c>
      <c r="M17">
        <v>1</v>
      </c>
    </row>
    <row r="18" spans="1:13" x14ac:dyDescent="0.2">
      <c r="A18" t="s">
        <v>74</v>
      </c>
      <c r="B18" s="2" t="s">
        <v>72</v>
      </c>
      <c r="C18" s="5" t="str">
        <f t="shared" si="0"/>
        <v>https://pouteou.com/</v>
      </c>
      <c r="D18">
        <v>28</v>
      </c>
      <c r="E18">
        <v>11</v>
      </c>
      <c r="F18" t="s">
        <v>75</v>
      </c>
      <c r="G18">
        <v>0</v>
      </c>
      <c r="H18" t="s">
        <v>13</v>
      </c>
      <c r="I18">
        <v>21</v>
      </c>
      <c r="J18" t="s">
        <v>76</v>
      </c>
      <c r="K18">
        <v>17</v>
      </c>
      <c r="L18">
        <v>28</v>
      </c>
      <c r="M18">
        <v>7</v>
      </c>
    </row>
    <row r="19" spans="1:13" x14ac:dyDescent="0.2">
      <c r="A19" t="s">
        <v>52</v>
      </c>
      <c r="B19" s="2" t="s">
        <v>133</v>
      </c>
      <c r="C19" s="5" t="str">
        <f t="shared" si="0"/>
        <v>http://www.hoesmann.de</v>
      </c>
      <c r="D19">
        <v>44</v>
      </c>
      <c r="E19">
        <v>42</v>
      </c>
      <c r="F19" t="s">
        <v>53</v>
      </c>
      <c r="G19">
        <v>0</v>
      </c>
      <c r="H19" t="s">
        <v>13</v>
      </c>
      <c r="I19">
        <v>36</v>
      </c>
      <c r="J19" t="s">
        <v>54</v>
      </c>
      <c r="K19">
        <v>2</v>
      </c>
      <c r="L19">
        <v>44</v>
      </c>
      <c r="M19">
        <v>8</v>
      </c>
    </row>
    <row r="20" spans="1:13" x14ac:dyDescent="0.2">
      <c r="A20" t="s">
        <v>110</v>
      </c>
      <c r="B20" s="2" t="s">
        <v>130</v>
      </c>
      <c r="C20" s="5" t="str">
        <f t="shared" si="0"/>
        <v>http://www.hsl-lindlar.de</v>
      </c>
      <c r="D20">
        <v>11</v>
      </c>
      <c r="E20">
        <v>11</v>
      </c>
      <c r="F20" t="s">
        <v>12</v>
      </c>
      <c r="G20">
        <v>0</v>
      </c>
      <c r="H20" t="s">
        <v>13</v>
      </c>
      <c r="I20">
        <v>10</v>
      </c>
      <c r="J20" t="s">
        <v>71</v>
      </c>
      <c r="K20">
        <v>0</v>
      </c>
      <c r="L20">
        <v>11</v>
      </c>
      <c r="M20">
        <v>1</v>
      </c>
    </row>
    <row r="21" spans="1:13" x14ac:dyDescent="0.2">
      <c r="A21" t="s">
        <v>118</v>
      </c>
      <c r="B21" s="3" t="s">
        <v>41</v>
      </c>
      <c r="C21" s="5" t="str">
        <f t="shared" si="0"/>
        <v>http://www.holzkunst-kaden.de</v>
      </c>
      <c r="D21">
        <v>10</v>
      </c>
      <c r="E21">
        <v>9</v>
      </c>
      <c r="F21" t="s">
        <v>112</v>
      </c>
      <c r="G21">
        <v>0</v>
      </c>
      <c r="H21" t="s">
        <v>13</v>
      </c>
      <c r="I21">
        <v>9</v>
      </c>
      <c r="J21" t="s">
        <v>112</v>
      </c>
      <c r="K21">
        <v>1</v>
      </c>
      <c r="L21">
        <v>10</v>
      </c>
      <c r="M21">
        <v>1</v>
      </c>
    </row>
    <row r="22" spans="1:13" hidden="1" x14ac:dyDescent="0.2">
      <c r="A22" t="s">
        <v>66</v>
      </c>
      <c r="B22" s="2" t="s">
        <v>66</v>
      </c>
      <c r="C22" s="5"/>
      <c r="D22">
        <v>35</v>
      </c>
      <c r="E22">
        <v>3</v>
      </c>
      <c r="F22" t="s">
        <v>67</v>
      </c>
      <c r="G22">
        <v>0</v>
      </c>
      <c r="H22" t="s">
        <v>13</v>
      </c>
      <c r="I22">
        <v>24</v>
      </c>
      <c r="J22" t="s">
        <v>68</v>
      </c>
      <c r="K22">
        <v>32</v>
      </c>
      <c r="L22">
        <v>35</v>
      </c>
      <c r="M22">
        <v>11</v>
      </c>
    </row>
    <row r="23" spans="1:13" x14ac:dyDescent="0.2">
      <c r="A23" t="s">
        <v>87</v>
      </c>
      <c r="B23" s="2" t="s">
        <v>111</v>
      </c>
      <c r="C23" s="5" t="str">
        <f t="shared" ref="C23:C31" si="1">VLOOKUP(B23,$A$2:$A$83,1,FALSE)</f>
        <v>http://www.johner-aqua-team.de/</v>
      </c>
      <c r="D23">
        <v>19</v>
      </c>
      <c r="E23">
        <v>10</v>
      </c>
      <c r="F23" t="s">
        <v>88</v>
      </c>
      <c r="G23">
        <v>0</v>
      </c>
      <c r="H23" t="s">
        <v>13</v>
      </c>
      <c r="I23">
        <v>17</v>
      </c>
      <c r="J23" t="s">
        <v>89</v>
      </c>
      <c r="K23">
        <v>9</v>
      </c>
      <c r="L23">
        <v>19</v>
      </c>
      <c r="M23">
        <v>2</v>
      </c>
    </row>
    <row r="24" spans="1:13" x14ac:dyDescent="0.2">
      <c r="A24" t="s">
        <v>85</v>
      </c>
      <c r="B24" s="2" t="s">
        <v>145</v>
      </c>
      <c r="C24" s="5" t="str">
        <f t="shared" si="1"/>
        <v>http://www.goebel-lenze.de</v>
      </c>
      <c r="D24">
        <v>20</v>
      </c>
      <c r="E24">
        <v>12</v>
      </c>
      <c r="F24" t="s">
        <v>37</v>
      </c>
      <c r="G24">
        <v>0</v>
      </c>
      <c r="H24" t="s">
        <v>13</v>
      </c>
      <c r="I24">
        <v>20</v>
      </c>
      <c r="J24" t="s">
        <v>12</v>
      </c>
      <c r="K24">
        <v>8</v>
      </c>
      <c r="L24">
        <v>20</v>
      </c>
      <c r="M24">
        <v>0</v>
      </c>
    </row>
    <row r="25" spans="1:13" x14ac:dyDescent="0.2">
      <c r="A25" t="s">
        <v>79</v>
      </c>
      <c r="B25" s="2" t="s">
        <v>141</v>
      </c>
      <c r="C25" s="5" t="str">
        <f t="shared" si="1"/>
        <v>http://www.kamatek.de/</v>
      </c>
      <c r="D25">
        <v>25</v>
      </c>
      <c r="E25">
        <v>20</v>
      </c>
      <c r="F25" t="s">
        <v>80</v>
      </c>
      <c r="G25">
        <v>0</v>
      </c>
      <c r="H25" t="s">
        <v>13</v>
      </c>
      <c r="I25">
        <v>22</v>
      </c>
      <c r="J25" t="s">
        <v>81</v>
      </c>
      <c r="K25">
        <v>5</v>
      </c>
      <c r="L25">
        <v>25</v>
      </c>
      <c r="M25">
        <v>3</v>
      </c>
    </row>
    <row r="26" spans="1:13" x14ac:dyDescent="0.2">
      <c r="A26" t="s">
        <v>44</v>
      </c>
      <c r="B26" s="2" t="s">
        <v>128</v>
      </c>
      <c r="C26" s="5" t="str">
        <f t="shared" si="1"/>
        <v>http://www.klausmueller.net/</v>
      </c>
      <c r="D26">
        <v>58</v>
      </c>
      <c r="E26">
        <v>41</v>
      </c>
      <c r="F26" t="s">
        <v>45</v>
      </c>
      <c r="G26">
        <v>0</v>
      </c>
      <c r="H26" t="s">
        <v>13</v>
      </c>
      <c r="I26">
        <v>50</v>
      </c>
      <c r="J26" t="s">
        <v>43</v>
      </c>
      <c r="K26">
        <v>17</v>
      </c>
      <c r="L26">
        <v>58</v>
      </c>
      <c r="M26">
        <v>8</v>
      </c>
    </row>
    <row r="27" spans="1:13" x14ac:dyDescent="0.2">
      <c r="A27" t="s">
        <v>32</v>
      </c>
      <c r="B27" s="2" t="s">
        <v>74</v>
      </c>
      <c r="C27" s="5" t="str">
        <f t="shared" si="1"/>
        <v>http://www.koeberlein-seigert.com/</v>
      </c>
      <c r="D27">
        <v>61</v>
      </c>
      <c r="E27">
        <v>8</v>
      </c>
      <c r="F27" t="s">
        <v>33</v>
      </c>
      <c r="G27">
        <v>0</v>
      </c>
      <c r="H27" t="s">
        <v>13</v>
      </c>
      <c r="I27">
        <v>53</v>
      </c>
      <c r="J27" t="s">
        <v>34</v>
      </c>
      <c r="K27">
        <v>53</v>
      </c>
      <c r="L27">
        <v>61</v>
      </c>
      <c r="M27">
        <v>8</v>
      </c>
    </row>
    <row r="28" spans="1:13" x14ac:dyDescent="0.2">
      <c r="A28" t="s">
        <v>15</v>
      </c>
      <c r="B28" s="2" t="s">
        <v>102</v>
      </c>
      <c r="C28" s="5" t="str">
        <f t="shared" si="1"/>
        <v>http://www.gebhard-praezisionswerkzeuge.de/</v>
      </c>
      <c r="D28">
        <v>106</v>
      </c>
      <c r="E28">
        <v>37</v>
      </c>
      <c r="F28" t="s">
        <v>16</v>
      </c>
      <c r="G28">
        <v>0</v>
      </c>
      <c r="H28" t="s">
        <v>13</v>
      </c>
      <c r="I28">
        <v>84</v>
      </c>
      <c r="J28" t="s">
        <v>17</v>
      </c>
      <c r="K28">
        <v>69</v>
      </c>
      <c r="L28">
        <v>106</v>
      </c>
      <c r="M28">
        <v>22</v>
      </c>
    </row>
    <row r="29" spans="1:13" x14ac:dyDescent="0.2">
      <c r="A29" t="s">
        <v>140</v>
      </c>
      <c r="B29" s="3" t="s">
        <v>126</v>
      </c>
      <c r="C29" s="5" t="str">
        <f t="shared" si="1"/>
        <v>https://www.btrberlin.de/</v>
      </c>
      <c r="D29">
        <v>5</v>
      </c>
      <c r="E29">
        <v>5</v>
      </c>
      <c r="F29" t="s">
        <v>12</v>
      </c>
      <c r="G29">
        <v>0</v>
      </c>
      <c r="H29" t="s">
        <v>13</v>
      </c>
      <c r="I29">
        <v>4</v>
      </c>
      <c r="J29" t="s">
        <v>80</v>
      </c>
      <c r="K29">
        <v>0</v>
      </c>
      <c r="L29">
        <v>5</v>
      </c>
      <c r="M29">
        <v>1</v>
      </c>
    </row>
    <row r="30" spans="1:13" x14ac:dyDescent="0.2">
      <c r="A30" t="s">
        <v>64</v>
      </c>
      <c r="B30" s="7" t="s">
        <v>163</v>
      </c>
      <c r="C30" s="5" t="e">
        <f t="shared" si="1"/>
        <v>#N/A</v>
      </c>
      <c r="D30">
        <v>35</v>
      </c>
      <c r="E30">
        <v>29</v>
      </c>
      <c r="F30" t="s">
        <v>65</v>
      </c>
      <c r="G30">
        <v>0</v>
      </c>
      <c r="H30" t="s">
        <v>13</v>
      </c>
      <c r="I30">
        <v>30</v>
      </c>
      <c r="J30" t="s">
        <v>28</v>
      </c>
      <c r="K30">
        <v>6</v>
      </c>
      <c r="L30">
        <v>35</v>
      </c>
      <c r="M30">
        <v>5</v>
      </c>
    </row>
    <row r="31" spans="1:13" x14ac:dyDescent="0.2">
      <c r="A31" t="s">
        <v>58</v>
      </c>
      <c r="B31" s="3" t="s">
        <v>52</v>
      </c>
      <c r="C31" s="5" t="str">
        <f t="shared" si="1"/>
        <v>http://www.koi-company.de/</v>
      </c>
      <c r="D31">
        <v>42</v>
      </c>
      <c r="E31">
        <v>41</v>
      </c>
      <c r="F31" t="s">
        <v>59</v>
      </c>
      <c r="G31">
        <v>0</v>
      </c>
      <c r="H31" t="s">
        <v>13</v>
      </c>
      <c r="I31">
        <v>36</v>
      </c>
      <c r="J31" t="s">
        <v>28</v>
      </c>
      <c r="K31">
        <v>1</v>
      </c>
      <c r="L31">
        <v>42</v>
      </c>
      <c r="M31">
        <v>6</v>
      </c>
    </row>
    <row r="32" spans="1:13" hidden="1" x14ac:dyDescent="0.2">
      <c r="A32" t="s">
        <v>90</v>
      </c>
      <c r="B32" s="3" t="s">
        <v>110</v>
      </c>
      <c r="C32" s="6"/>
      <c r="D32">
        <v>18</v>
      </c>
      <c r="E32">
        <v>0</v>
      </c>
      <c r="F32" t="s">
        <v>13</v>
      </c>
      <c r="G32">
        <v>0</v>
      </c>
      <c r="H32" t="s">
        <v>13</v>
      </c>
      <c r="I32">
        <v>17</v>
      </c>
      <c r="J32" t="s">
        <v>48</v>
      </c>
      <c r="K32">
        <v>18</v>
      </c>
      <c r="L32">
        <v>18</v>
      </c>
      <c r="M32">
        <v>1</v>
      </c>
    </row>
    <row r="33" spans="1:13" x14ac:dyDescent="0.2">
      <c r="A33" t="s">
        <v>55</v>
      </c>
      <c r="B33" s="3" t="s">
        <v>142</v>
      </c>
      <c r="C33" s="5" t="str">
        <f t="shared" ref="C33:C34" si="2">VLOOKUP(B33,$A$2:$A$83,1,FALSE)</f>
        <v>http://www.maha-praezision.de/</v>
      </c>
      <c r="D33">
        <v>43</v>
      </c>
      <c r="E33">
        <v>37</v>
      </c>
      <c r="F33" t="s">
        <v>56</v>
      </c>
      <c r="G33">
        <v>0</v>
      </c>
      <c r="H33" t="s">
        <v>13</v>
      </c>
      <c r="I33">
        <v>41</v>
      </c>
      <c r="J33" t="s">
        <v>57</v>
      </c>
      <c r="K33">
        <v>6</v>
      </c>
      <c r="L33">
        <v>43</v>
      </c>
      <c r="M33">
        <v>2</v>
      </c>
    </row>
    <row r="34" spans="1:13" x14ac:dyDescent="0.2">
      <c r="A34" t="s">
        <v>30</v>
      </c>
      <c r="B34" s="8" t="s">
        <v>164</v>
      </c>
      <c r="C34" s="5" t="e">
        <f t="shared" si="2"/>
        <v>#N/A</v>
      </c>
      <c r="D34">
        <v>61</v>
      </c>
      <c r="E34">
        <v>61</v>
      </c>
      <c r="F34" t="s">
        <v>12</v>
      </c>
      <c r="G34">
        <v>0</v>
      </c>
      <c r="H34" t="s">
        <v>13</v>
      </c>
      <c r="I34">
        <v>55</v>
      </c>
      <c r="J34" t="s">
        <v>31</v>
      </c>
      <c r="K34">
        <v>0</v>
      </c>
      <c r="L34">
        <v>61</v>
      </c>
      <c r="M34">
        <v>6</v>
      </c>
    </row>
    <row r="35" spans="1:13" hidden="1" x14ac:dyDescent="0.2">
      <c r="A35" t="s">
        <v>94</v>
      </c>
      <c r="B35" s="2" t="s">
        <v>137</v>
      </c>
      <c r="C35" s="5"/>
      <c r="D35">
        <v>14</v>
      </c>
      <c r="E35">
        <v>0</v>
      </c>
      <c r="F35" t="s">
        <v>13</v>
      </c>
      <c r="G35">
        <v>0</v>
      </c>
      <c r="H35" t="s">
        <v>13</v>
      </c>
      <c r="I35">
        <v>4</v>
      </c>
      <c r="J35" t="s">
        <v>95</v>
      </c>
      <c r="K35">
        <v>14</v>
      </c>
      <c r="L35">
        <v>14</v>
      </c>
      <c r="M35">
        <v>10</v>
      </c>
    </row>
    <row r="36" spans="1:13" x14ac:dyDescent="0.2">
      <c r="A36" t="s">
        <v>137</v>
      </c>
      <c r="B36" s="2" t="s">
        <v>148</v>
      </c>
      <c r="C36" s="5" t="str">
        <f t="shared" ref="C36:C38" si="3">VLOOKUP(B36,$A$2:$A$83,1,FALSE)</f>
        <v>http://www.marsilli.com/</v>
      </c>
      <c r="D36">
        <v>6</v>
      </c>
      <c r="E36">
        <v>6</v>
      </c>
      <c r="F36" t="s">
        <v>12</v>
      </c>
      <c r="G36">
        <v>0</v>
      </c>
      <c r="H36" t="s">
        <v>13</v>
      </c>
      <c r="I36">
        <v>5</v>
      </c>
      <c r="J36" t="s">
        <v>106</v>
      </c>
      <c r="K36">
        <v>0</v>
      </c>
      <c r="L36">
        <v>6</v>
      </c>
      <c r="M36">
        <v>1</v>
      </c>
    </row>
    <row r="37" spans="1:13" x14ac:dyDescent="0.2">
      <c r="A37" t="s">
        <v>119</v>
      </c>
      <c r="B37" s="2" t="s">
        <v>87</v>
      </c>
      <c r="C37" s="5" t="str">
        <f t="shared" si="3"/>
        <v>http://www.memoplast.de/</v>
      </c>
      <c r="D37">
        <v>9</v>
      </c>
      <c r="E37">
        <v>9</v>
      </c>
      <c r="F37" t="s">
        <v>12</v>
      </c>
      <c r="G37">
        <v>0</v>
      </c>
      <c r="H37" t="s">
        <v>13</v>
      </c>
      <c r="I37">
        <v>8</v>
      </c>
      <c r="J37" t="s">
        <v>120</v>
      </c>
      <c r="K37">
        <v>0</v>
      </c>
      <c r="L37">
        <v>9</v>
      </c>
      <c r="M37">
        <v>1</v>
      </c>
    </row>
    <row r="38" spans="1:13" x14ac:dyDescent="0.2">
      <c r="A38" t="s">
        <v>98</v>
      </c>
      <c r="B38" s="7" t="s">
        <v>165</v>
      </c>
      <c r="C38" s="5" t="e">
        <f t="shared" si="3"/>
        <v>#N/A</v>
      </c>
      <c r="D38">
        <v>14</v>
      </c>
      <c r="E38">
        <v>14</v>
      </c>
      <c r="F38" t="s">
        <v>12</v>
      </c>
      <c r="G38">
        <v>0</v>
      </c>
      <c r="H38" t="s">
        <v>13</v>
      </c>
      <c r="I38">
        <v>14</v>
      </c>
      <c r="J38" t="s">
        <v>12</v>
      </c>
      <c r="K38">
        <v>0</v>
      </c>
      <c r="L38">
        <v>14</v>
      </c>
      <c r="M38">
        <v>0</v>
      </c>
    </row>
    <row r="39" spans="1:13" hidden="1" x14ac:dyDescent="0.2">
      <c r="A39" t="s">
        <v>101</v>
      </c>
      <c r="B39" s="2" t="s">
        <v>118</v>
      </c>
      <c r="C39" s="5"/>
      <c r="D39">
        <v>13</v>
      </c>
      <c r="E39">
        <v>0</v>
      </c>
      <c r="F39" t="s">
        <v>13</v>
      </c>
      <c r="G39">
        <v>0</v>
      </c>
      <c r="H39" t="s">
        <v>13</v>
      </c>
      <c r="I39">
        <v>13</v>
      </c>
      <c r="J39" t="s">
        <v>12</v>
      </c>
      <c r="K39">
        <v>13</v>
      </c>
      <c r="L39">
        <v>13</v>
      </c>
      <c r="M39">
        <v>0</v>
      </c>
    </row>
    <row r="40" spans="1:13" x14ac:dyDescent="0.2">
      <c r="A40" t="s">
        <v>104</v>
      </c>
      <c r="B40" s="2" t="s">
        <v>85</v>
      </c>
      <c r="C40" s="5" t="str">
        <f t="shared" ref="C40:C41" si="4">VLOOKUP(B40,$A$2:$A$83,1,FALSE)</f>
        <v>http://www.ormaserramenti.com</v>
      </c>
      <c r="D40">
        <v>12</v>
      </c>
      <c r="E40">
        <v>5</v>
      </c>
      <c r="F40" t="s">
        <v>105</v>
      </c>
      <c r="G40">
        <v>0</v>
      </c>
      <c r="H40" t="s">
        <v>13</v>
      </c>
      <c r="I40">
        <v>10</v>
      </c>
      <c r="J40" t="s">
        <v>106</v>
      </c>
      <c r="K40">
        <v>7</v>
      </c>
      <c r="L40">
        <v>12</v>
      </c>
      <c r="M40">
        <v>2</v>
      </c>
    </row>
    <row r="41" spans="1:13" x14ac:dyDescent="0.2">
      <c r="A41" t="s">
        <v>62</v>
      </c>
      <c r="B41" s="2" t="s">
        <v>79</v>
      </c>
      <c r="C41" s="5" t="str">
        <f t="shared" si="4"/>
        <v>http://www.paul-reuter.de/</v>
      </c>
      <c r="D41">
        <v>36</v>
      </c>
      <c r="E41">
        <v>36</v>
      </c>
      <c r="F41" t="s">
        <v>12</v>
      </c>
      <c r="G41">
        <v>0</v>
      </c>
      <c r="H41" t="s">
        <v>13</v>
      </c>
      <c r="I41">
        <v>23</v>
      </c>
      <c r="J41" t="s">
        <v>63</v>
      </c>
      <c r="K41">
        <v>0</v>
      </c>
      <c r="L41">
        <v>36</v>
      </c>
      <c r="M41">
        <v>13</v>
      </c>
    </row>
    <row r="42" spans="1:13" hidden="1" x14ac:dyDescent="0.2">
      <c r="A42" t="s">
        <v>107</v>
      </c>
      <c r="B42" s="3" t="s">
        <v>166</v>
      </c>
      <c r="C42" s="6"/>
      <c r="D42">
        <v>11</v>
      </c>
      <c r="E42">
        <v>0</v>
      </c>
      <c r="F42" t="s">
        <v>13</v>
      </c>
      <c r="G42">
        <v>0</v>
      </c>
      <c r="H42" t="s">
        <v>13</v>
      </c>
      <c r="I42">
        <v>9</v>
      </c>
      <c r="J42" t="s">
        <v>54</v>
      </c>
      <c r="K42">
        <v>11</v>
      </c>
      <c r="L42">
        <v>11</v>
      </c>
      <c r="M42">
        <v>2</v>
      </c>
    </row>
    <row r="43" spans="1:13" hidden="1" x14ac:dyDescent="0.2">
      <c r="A43" t="s">
        <v>108</v>
      </c>
      <c r="B43" s="2" t="s">
        <v>44</v>
      </c>
      <c r="C43" s="5"/>
      <c r="D43">
        <v>11</v>
      </c>
      <c r="E43">
        <v>1</v>
      </c>
      <c r="F43" t="s">
        <v>109</v>
      </c>
      <c r="G43">
        <v>0</v>
      </c>
      <c r="H43" t="s">
        <v>13</v>
      </c>
      <c r="I43">
        <v>11</v>
      </c>
      <c r="J43" t="s">
        <v>12</v>
      </c>
      <c r="K43">
        <v>10</v>
      </c>
      <c r="L43">
        <v>11</v>
      </c>
      <c r="M43">
        <v>0</v>
      </c>
    </row>
    <row r="44" spans="1:13" x14ac:dyDescent="0.2">
      <c r="A44" t="s">
        <v>72</v>
      </c>
      <c r="B44" s="3" t="s">
        <v>32</v>
      </c>
      <c r="C44" s="5" t="str">
        <f t="shared" ref="C44:C48" si="5">VLOOKUP(B44,$A$2:$A$83,1,FALSE)</f>
        <v>http://www.pts-prueftechnik.de/</v>
      </c>
      <c r="D44">
        <v>32</v>
      </c>
      <c r="E44">
        <v>32</v>
      </c>
      <c r="F44" t="s">
        <v>12</v>
      </c>
      <c r="G44">
        <v>0</v>
      </c>
      <c r="H44" t="s">
        <v>13</v>
      </c>
      <c r="I44">
        <v>1</v>
      </c>
      <c r="J44" t="s">
        <v>73</v>
      </c>
      <c r="K44">
        <v>0</v>
      </c>
      <c r="L44">
        <v>32</v>
      </c>
      <c r="M44">
        <v>31</v>
      </c>
    </row>
    <row r="45" spans="1:13" x14ac:dyDescent="0.2">
      <c r="A45" t="s">
        <v>126</v>
      </c>
      <c r="B45" s="3" t="s">
        <v>15</v>
      </c>
      <c r="C45" s="5" t="str">
        <f t="shared" si="5"/>
        <v>http://www.rosenberger.com/</v>
      </c>
      <c r="D45">
        <v>8</v>
      </c>
      <c r="E45">
        <v>5</v>
      </c>
      <c r="F45" t="s">
        <v>127</v>
      </c>
      <c r="G45">
        <v>0</v>
      </c>
      <c r="H45" t="s">
        <v>13</v>
      </c>
      <c r="I45">
        <v>8</v>
      </c>
      <c r="J45" t="s">
        <v>12</v>
      </c>
      <c r="K45">
        <v>3</v>
      </c>
      <c r="L45">
        <v>8</v>
      </c>
      <c r="M45">
        <v>0</v>
      </c>
    </row>
    <row r="46" spans="1:13" x14ac:dyDescent="0.2">
      <c r="A46" t="s">
        <v>91</v>
      </c>
      <c r="B46" s="3" t="s">
        <v>140</v>
      </c>
      <c r="C46" s="5" t="str">
        <f t="shared" si="5"/>
        <v>http://www.rvt-systeme.de</v>
      </c>
      <c r="D46">
        <v>16</v>
      </c>
      <c r="E46">
        <v>15</v>
      </c>
      <c r="F46" t="s">
        <v>92</v>
      </c>
      <c r="G46">
        <v>0</v>
      </c>
      <c r="H46" t="s">
        <v>13</v>
      </c>
      <c r="I46">
        <v>15</v>
      </c>
      <c r="J46" t="s">
        <v>92</v>
      </c>
      <c r="K46">
        <v>1</v>
      </c>
      <c r="L46">
        <v>16</v>
      </c>
      <c r="M46">
        <v>1</v>
      </c>
    </row>
    <row r="47" spans="1:13" x14ac:dyDescent="0.2">
      <c r="A47" t="s">
        <v>77</v>
      </c>
      <c r="B47" s="2" t="s">
        <v>107</v>
      </c>
      <c r="C47" s="5" t="str">
        <f t="shared" si="5"/>
        <v>http://www.merkan.at</v>
      </c>
      <c r="D47">
        <v>25</v>
      </c>
      <c r="E47">
        <v>25</v>
      </c>
      <c r="F47" t="s">
        <v>12</v>
      </c>
      <c r="G47">
        <v>0</v>
      </c>
      <c r="H47" t="s">
        <v>13</v>
      </c>
      <c r="I47">
        <v>19</v>
      </c>
      <c r="J47" t="s">
        <v>78</v>
      </c>
      <c r="K47">
        <v>0</v>
      </c>
      <c r="L47">
        <v>25</v>
      </c>
      <c r="M47">
        <v>6</v>
      </c>
    </row>
    <row r="48" spans="1:13" x14ac:dyDescent="0.2">
      <c r="A48" t="s">
        <v>27</v>
      </c>
      <c r="B48" s="3" t="s">
        <v>113</v>
      </c>
      <c r="C48" s="5" t="str">
        <f t="shared" si="5"/>
        <v>http://www.csc-nord.de/</v>
      </c>
      <c r="D48">
        <v>63</v>
      </c>
      <c r="E48">
        <v>54</v>
      </c>
      <c r="F48" t="s">
        <v>28</v>
      </c>
      <c r="G48">
        <v>0</v>
      </c>
      <c r="H48" t="s">
        <v>13</v>
      </c>
      <c r="I48">
        <v>50</v>
      </c>
      <c r="J48" t="s">
        <v>29</v>
      </c>
      <c r="K48">
        <v>9</v>
      </c>
      <c r="L48">
        <v>63</v>
      </c>
      <c r="M48">
        <v>13</v>
      </c>
    </row>
    <row r="49" spans="1:13" hidden="1" x14ac:dyDescent="0.2">
      <c r="A49" t="s">
        <v>117</v>
      </c>
      <c r="B49" s="2" t="s">
        <v>77</v>
      </c>
      <c r="C49" s="5"/>
      <c r="D49">
        <v>10</v>
      </c>
      <c r="E49">
        <v>0</v>
      </c>
      <c r="F49" t="s">
        <v>13</v>
      </c>
      <c r="G49">
        <v>0</v>
      </c>
      <c r="H49" t="s">
        <v>13</v>
      </c>
      <c r="I49">
        <v>9</v>
      </c>
      <c r="J49" t="s">
        <v>112</v>
      </c>
      <c r="K49">
        <v>10</v>
      </c>
      <c r="L49">
        <v>10</v>
      </c>
      <c r="M49">
        <v>1</v>
      </c>
    </row>
    <row r="50" spans="1:13" x14ac:dyDescent="0.2">
      <c r="A50" t="s">
        <v>35</v>
      </c>
      <c r="B50" s="3" t="s">
        <v>115</v>
      </c>
      <c r="C50" s="5" t="str">
        <f t="shared" ref="C50:C51" si="6">VLOOKUP(B50,$A$2:$A$83,1,FALSE)</f>
        <v>http://coppolaspa.it</v>
      </c>
      <c r="D50">
        <v>60</v>
      </c>
      <c r="E50">
        <v>44</v>
      </c>
      <c r="F50" t="s">
        <v>36</v>
      </c>
      <c r="G50">
        <v>0</v>
      </c>
      <c r="H50" t="s">
        <v>13</v>
      </c>
      <c r="I50">
        <v>36</v>
      </c>
      <c r="J50" t="s">
        <v>37</v>
      </c>
      <c r="K50">
        <v>16</v>
      </c>
      <c r="L50">
        <v>60</v>
      </c>
      <c r="M50">
        <v>24</v>
      </c>
    </row>
    <row r="51" spans="1:13" x14ac:dyDescent="0.2">
      <c r="A51" t="s">
        <v>18</v>
      </c>
      <c r="B51" s="3" t="s">
        <v>58</v>
      </c>
      <c r="C51" s="5" t="str">
        <f t="shared" si="6"/>
        <v>http://www.saline-stadtilm.de/</v>
      </c>
      <c r="D51">
        <v>74</v>
      </c>
      <c r="E51">
        <v>54</v>
      </c>
      <c r="F51" t="s">
        <v>19</v>
      </c>
      <c r="G51">
        <v>0</v>
      </c>
      <c r="H51" t="s">
        <v>13</v>
      </c>
      <c r="I51">
        <v>43</v>
      </c>
      <c r="J51" t="s">
        <v>20</v>
      </c>
      <c r="K51">
        <v>20</v>
      </c>
      <c r="L51">
        <v>74</v>
      </c>
      <c r="M51">
        <v>31</v>
      </c>
    </row>
    <row r="52" spans="1:13" hidden="1" x14ac:dyDescent="0.2">
      <c r="A52" t="s">
        <v>121</v>
      </c>
      <c r="B52" s="3" t="s">
        <v>64</v>
      </c>
      <c r="C52" s="6"/>
      <c r="D52">
        <v>9</v>
      </c>
      <c r="E52">
        <v>4</v>
      </c>
      <c r="F52" t="s">
        <v>122</v>
      </c>
      <c r="G52">
        <v>0</v>
      </c>
      <c r="H52" t="s">
        <v>13</v>
      </c>
      <c r="I52">
        <v>7</v>
      </c>
      <c r="J52" t="s">
        <v>123</v>
      </c>
      <c r="K52">
        <v>5</v>
      </c>
      <c r="L52">
        <v>9</v>
      </c>
      <c r="M52">
        <v>2</v>
      </c>
    </row>
    <row r="53" spans="1:13" x14ac:dyDescent="0.2">
      <c r="A53" t="s">
        <v>82</v>
      </c>
      <c r="B53" s="3" t="s">
        <v>99</v>
      </c>
      <c r="C53" s="5" t="str">
        <f>VLOOKUP(B53,$A$2:$A$83,1,FALSE)</f>
        <v>http://www.haack-jalousien.de</v>
      </c>
      <c r="D53">
        <v>23</v>
      </c>
      <c r="E53">
        <v>10</v>
      </c>
      <c r="F53" t="s">
        <v>83</v>
      </c>
      <c r="G53">
        <v>0</v>
      </c>
      <c r="H53" t="s">
        <v>13</v>
      </c>
      <c r="I53">
        <v>19</v>
      </c>
      <c r="J53" t="s">
        <v>84</v>
      </c>
      <c r="K53">
        <v>13</v>
      </c>
      <c r="L53">
        <v>23</v>
      </c>
      <c r="M53">
        <v>4</v>
      </c>
    </row>
    <row r="54" spans="1:13" hidden="1" x14ac:dyDescent="0.2">
      <c r="A54" t="s">
        <v>125</v>
      </c>
      <c r="B54" s="2" t="s">
        <v>155</v>
      </c>
      <c r="C54" s="5"/>
      <c r="D54">
        <v>8</v>
      </c>
      <c r="E54">
        <v>0</v>
      </c>
      <c r="F54" t="s">
        <v>13</v>
      </c>
      <c r="G54">
        <v>0</v>
      </c>
      <c r="H54" t="s">
        <v>13</v>
      </c>
      <c r="I54">
        <v>8</v>
      </c>
      <c r="J54" t="s">
        <v>12</v>
      </c>
      <c r="K54">
        <v>8</v>
      </c>
      <c r="L54">
        <v>8</v>
      </c>
      <c r="M54">
        <v>0</v>
      </c>
    </row>
    <row r="55" spans="1:13" x14ac:dyDescent="0.2">
      <c r="A55" t="s">
        <v>124</v>
      </c>
      <c r="B55" s="3" t="s">
        <v>147</v>
      </c>
      <c r="C55" s="5" t="str">
        <f>VLOOKUP(B55,$A$2:$A$83,1,FALSE)</f>
        <v>https://autorema.com/</v>
      </c>
      <c r="D55">
        <v>9</v>
      </c>
      <c r="E55">
        <v>8</v>
      </c>
      <c r="F55" t="s">
        <v>120</v>
      </c>
      <c r="G55">
        <v>0</v>
      </c>
      <c r="H55" t="s">
        <v>13</v>
      </c>
      <c r="I55">
        <v>8</v>
      </c>
      <c r="J55" t="s">
        <v>120</v>
      </c>
      <c r="K55">
        <v>1</v>
      </c>
      <c r="L55">
        <v>9</v>
      </c>
      <c r="M55">
        <v>1</v>
      </c>
    </row>
    <row r="56" spans="1:13" hidden="1" x14ac:dyDescent="0.2">
      <c r="A56" t="s">
        <v>128</v>
      </c>
      <c r="B56" s="3" t="s">
        <v>119</v>
      </c>
      <c r="C56" s="6"/>
      <c r="D56">
        <v>8</v>
      </c>
      <c r="E56">
        <v>1</v>
      </c>
      <c r="F56" t="s">
        <v>129</v>
      </c>
      <c r="G56">
        <v>0</v>
      </c>
      <c r="H56" t="s">
        <v>13</v>
      </c>
      <c r="I56">
        <v>8</v>
      </c>
      <c r="J56" t="s">
        <v>12</v>
      </c>
      <c r="K56">
        <v>7</v>
      </c>
      <c r="L56">
        <v>8</v>
      </c>
      <c r="M56">
        <v>0</v>
      </c>
    </row>
    <row r="57" spans="1:13" x14ac:dyDescent="0.2">
      <c r="A57" t="s">
        <v>24</v>
      </c>
      <c r="B57" s="2" t="s">
        <v>153</v>
      </c>
      <c r="C57" s="5" t="str">
        <f t="shared" ref="C57:C58" si="7">VLOOKUP(B57,$A$2:$A$83,1,FALSE)</f>
        <v>http://www.teddington.de</v>
      </c>
      <c r="D57">
        <v>65</v>
      </c>
      <c r="E57">
        <v>43</v>
      </c>
      <c r="F57" t="s">
        <v>25</v>
      </c>
      <c r="G57">
        <v>0</v>
      </c>
      <c r="H57" t="s">
        <v>13</v>
      </c>
      <c r="I57">
        <v>58</v>
      </c>
      <c r="J57" t="s">
        <v>26</v>
      </c>
      <c r="K57">
        <v>22</v>
      </c>
      <c r="L57">
        <v>65</v>
      </c>
      <c r="M57">
        <v>7</v>
      </c>
    </row>
    <row r="58" spans="1:13" x14ac:dyDescent="0.2">
      <c r="A58" t="s">
        <v>86</v>
      </c>
      <c r="B58" s="3" t="s">
        <v>98</v>
      </c>
      <c r="C58" s="5" t="str">
        <f t="shared" si="7"/>
        <v>http://www.transportband-service.de/</v>
      </c>
      <c r="D58">
        <v>20</v>
      </c>
      <c r="E58">
        <v>20</v>
      </c>
      <c r="F58" t="s">
        <v>12</v>
      </c>
      <c r="G58">
        <v>0</v>
      </c>
      <c r="H58" t="s">
        <v>13</v>
      </c>
      <c r="I58">
        <v>20</v>
      </c>
      <c r="J58" t="s">
        <v>12</v>
      </c>
      <c r="K58">
        <v>0</v>
      </c>
      <c r="L58">
        <v>20</v>
      </c>
      <c r="M58">
        <v>0</v>
      </c>
    </row>
    <row r="59" spans="1:13" hidden="1" x14ac:dyDescent="0.2">
      <c r="A59" t="s">
        <v>133</v>
      </c>
      <c r="B59" s="2" t="s">
        <v>121</v>
      </c>
      <c r="C59" s="5"/>
      <c r="D59">
        <v>7</v>
      </c>
      <c r="E59">
        <v>1</v>
      </c>
      <c r="F59" t="s">
        <v>134</v>
      </c>
      <c r="G59">
        <v>0</v>
      </c>
      <c r="H59" t="s">
        <v>13</v>
      </c>
      <c r="I59">
        <v>7</v>
      </c>
      <c r="J59" t="s">
        <v>12</v>
      </c>
      <c r="K59">
        <v>6</v>
      </c>
      <c r="L59">
        <v>7</v>
      </c>
      <c r="M59">
        <v>0</v>
      </c>
    </row>
    <row r="60" spans="1:13" hidden="1" x14ac:dyDescent="0.2">
      <c r="A60" t="s">
        <v>135</v>
      </c>
      <c r="B60" s="3" t="s">
        <v>167</v>
      </c>
      <c r="C60" s="6"/>
      <c r="D60">
        <v>7</v>
      </c>
      <c r="E60">
        <v>0</v>
      </c>
      <c r="F60" t="s">
        <v>13</v>
      </c>
      <c r="G60">
        <v>0</v>
      </c>
      <c r="H60" t="s">
        <v>13</v>
      </c>
      <c r="I60">
        <v>5</v>
      </c>
      <c r="J60" t="s">
        <v>136</v>
      </c>
      <c r="K60">
        <v>7</v>
      </c>
      <c r="L60">
        <v>7</v>
      </c>
      <c r="M60">
        <v>2</v>
      </c>
    </row>
    <row r="61" spans="1:13" x14ac:dyDescent="0.2">
      <c r="A61" t="s">
        <v>131</v>
      </c>
      <c r="B61" s="8" t="s">
        <v>168</v>
      </c>
      <c r="C61" s="5" t="e">
        <f>VLOOKUP(B61,$A$2:$A$83,1,FALSE)</f>
        <v>#N/A</v>
      </c>
      <c r="D61">
        <v>7</v>
      </c>
      <c r="E61">
        <v>6</v>
      </c>
      <c r="F61" t="s">
        <v>28</v>
      </c>
      <c r="G61">
        <v>0</v>
      </c>
      <c r="H61" t="s">
        <v>13</v>
      </c>
      <c r="I61">
        <v>4</v>
      </c>
      <c r="J61" t="s">
        <v>132</v>
      </c>
      <c r="K61">
        <v>1</v>
      </c>
      <c r="L61">
        <v>7</v>
      </c>
      <c r="M61">
        <v>3</v>
      </c>
    </row>
    <row r="62" spans="1:13" hidden="1" x14ac:dyDescent="0.2">
      <c r="A62" t="s">
        <v>138</v>
      </c>
      <c r="B62" s="3" t="s">
        <v>169</v>
      </c>
      <c r="C62" s="6"/>
      <c r="D62">
        <v>6</v>
      </c>
      <c r="E62">
        <v>0</v>
      </c>
      <c r="F62" t="s">
        <v>13</v>
      </c>
      <c r="G62">
        <v>0</v>
      </c>
      <c r="H62" t="s">
        <v>13</v>
      </c>
      <c r="I62">
        <v>6</v>
      </c>
      <c r="J62" t="s">
        <v>12</v>
      </c>
      <c r="K62">
        <v>6</v>
      </c>
      <c r="L62">
        <v>6</v>
      </c>
      <c r="M62">
        <v>0</v>
      </c>
    </row>
    <row r="63" spans="1:13" x14ac:dyDescent="0.2">
      <c r="A63" t="s">
        <v>60</v>
      </c>
      <c r="B63" s="2" t="s">
        <v>144</v>
      </c>
      <c r="C63" s="5" t="str">
        <f t="shared" ref="C63:C64" si="8">VLOOKUP(B63,$A$2:$A$83,1,FALSE)</f>
        <v>https://www.alexarredamentiristorazione.com/</v>
      </c>
      <c r="D63">
        <v>39</v>
      </c>
      <c r="E63">
        <v>39</v>
      </c>
      <c r="F63" t="s">
        <v>12</v>
      </c>
      <c r="G63">
        <v>0</v>
      </c>
      <c r="H63" t="s">
        <v>13</v>
      </c>
      <c r="I63">
        <v>31</v>
      </c>
      <c r="J63" t="s">
        <v>61</v>
      </c>
      <c r="K63">
        <v>0</v>
      </c>
      <c r="L63">
        <v>39</v>
      </c>
      <c r="M63">
        <v>8</v>
      </c>
    </row>
    <row r="64" spans="1:13" x14ac:dyDescent="0.2">
      <c r="A64" t="s">
        <v>21</v>
      </c>
      <c r="B64" s="3" t="s">
        <v>62</v>
      </c>
      <c r="C64" s="5" t="str">
        <f t="shared" si="8"/>
        <v>https://netzsave.co.uk/</v>
      </c>
      <c r="D64">
        <v>67</v>
      </c>
      <c r="E64">
        <v>66</v>
      </c>
      <c r="F64" t="s">
        <v>22</v>
      </c>
      <c r="G64">
        <v>0</v>
      </c>
      <c r="H64" t="s">
        <v>13</v>
      </c>
      <c r="I64">
        <v>54</v>
      </c>
      <c r="J64" t="s">
        <v>23</v>
      </c>
      <c r="K64">
        <v>1</v>
      </c>
      <c r="L64">
        <v>67</v>
      </c>
      <c r="M64">
        <v>13</v>
      </c>
    </row>
    <row r="65" spans="1:13" hidden="1" x14ac:dyDescent="0.2">
      <c r="A65" t="s">
        <v>141</v>
      </c>
      <c r="B65" s="2" t="s">
        <v>170</v>
      </c>
      <c r="C65" s="5"/>
      <c r="D65">
        <v>5</v>
      </c>
      <c r="E65">
        <v>0</v>
      </c>
      <c r="F65" t="s">
        <v>13</v>
      </c>
      <c r="G65">
        <v>0</v>
      </c>
      <c r="H65" t="s">
        <v>13</v>
      </c>
      <c r="I65">
        <v>5</v>
      </c>
      <c r="J65" t="s">
        <v>12</v>
      </c>
      <c r="K65">
        <v>5</v>
      </c>
      <c r="L65">
        <v>5</v>
      </c>
      <c r="M65">
        <v>0</v>
      </c>
    </row>
    <row r="66" spans="1:13" hidden="1" x14ac:dyDescent="0.2">
      <c r="A66" t="s">
        <v>142</v>
      </c>
      <c r="B66" s="2" t="s">
        <v>171</v>
      </c>
      <c r="C66" s="5"/>
      <c r="D66">
        <v>5</v>
      </c>
      <c r="E66">
        <v>0</v>
      </c>
      <c r="F66" t="s">
        <v>13</v>
      </c>
      <c r="G66">
        <v>0</v>
      </c>
      <c r="H66" t="s">
        <v>13</v>
      </c>
      <c r="I66">
        <v>5</v>
      </c>
      <c r="J66" t="s">
        <v>12</v>
      </c>
      <c r="K66">
        <v>5</v>
      </c>
      <c r="L66">
        <v>5</v>
      </c>
      <c r="M66">
        <v>0</v>
      </c>
    </row>
    <row r="67" spans="1:13" hidden="1" x14ac:dyDescent="0.2">
      <c r="A67" t="s">
        <v>143</v>
      </c>
      <c r="B67" s="2" t="s">
        <v>150</v>
      </c>
      <c r="C67" s="5"/>
      <c r="D67">
        <v>5</v>
      </c>
      <c r="E67">
        <v>3</v>
      </c>
      <c r="F67" t="s">
        <v>37</v>
      </c>
      <c r="G67">
        <v>0</v>
      </c>
      <c r="H67" t="s">
        <v>13</v>
      </c>
      <c r="I67">
        <v>4</v>
      </c>
      <c r="J67" t="s">
        <v>80</v>
      </c>
      <c r="K67">
        <v>2</v>
      </c>
      <c r="L67">
        <v>5</v>
      </c>
      <c r="M67">
        <v>1</v>
      </c>
    </row>
    <row r="68" spans="1:13" hidden="1" x14ac:dyDescent="0.2">
      <c r="A68" t="s">
        <v>144</v>
      </c>
      <c r="B68" s="3" t="s">
        <v>157</v>
      </c>
      <c r="C68" s="6"/>
      <c r="D68">
        <v>5</v>
      </c>
      <c r="E68">
        <v>4</v>
      </c>
      <c r="F68" t="s">
        <v>80</v>
      </c>
      <c r="G68">
        <v>0</v>
      </c>
      <c r="H68" t="s">
        <v>13</v>
      </c>
      <c r="I68">
        <v>5</v>
      </c>
      <c r="J68" t="s">
        <v>12</v>
      </c>
      <c r="K68">
        <v>1</v>
      </c>
      <c r="L68">
        <v>5</v>
      </c>
      <c r="M68">
        <v>0</v>
      </c>
    </row>
    <row r="69" spans="1:13" hidden="1" x14ac:dyDescent="0.2">
      <c r="A69" t="s">
        <v>145</v>
      </c>
      <c r="B69" s="3" t="s">
        <v>91</v>
      </c>
      <c r="C69" s="6"/>
      <c r="D69">
        <v>4</v>
      </c>
      <c r="E69">
        <v>1</v>
      </c>
      <c r="F69" t="s">
        <v>146</v>
      </c>
      <c r="G69">
        <v>0</v>
      </c>
      <c r="H69" t="s">
        <v>13</v>
      </c>
      <c r="I69">
        <v>3</v>
      </c>
      <c r="J69" t="s">
        <v>76</v>
      </c>
      <c r="K69">
        <v>3</v>
      </c>
      <c r="L69">
        <v>4</v>
      </c>
      <c r="M69">
        <v>1</v>
      </c>
    </row>
    <row r="70" spans="1:13" hidden="1" x14ac:dyDescent="0.2">
      <c r="A70" t="s">
        <v>147</v>
      </c>
      <c r="B70" s="2" t="s">
        <v>27</v>
      </c>
      <c r="C70" s="5"/>
      <c r="D70">
        <v>4</v>
      </c>
      <c r="E70">
        <v>1</v>
      </c>
      <c r="F70" t="s">
        <v>146</v>
      </c>
      <c r="G70">
        <v>0</v>
      </c>
      <c r="H70" t="s">
        <v>13</v>
      </c>
      <c r="I70">
        <v>4</v>
      </c>
      <c r="J70" t="s">
        <v>12</v>
      </c>
      <c r="K70">
        <v>3</v>
      </c>
      <c r="L70">
        <v>4</v>
      </c>
      <c r="M70">
        <v>0</v>
      </c>
    </row>
    <row r="71" spans="1:13" hidden="1" x14ac:dyDescent="0.2">
      <c r="A71" t="s">
        <v>148</v>
      </c>
      <c r="B71" s="3" t="s">
        <v>35</v>
      </c>
      <c r="C71" s="6"/>
      <c r="D71">
        <v>4</v>
      </c>
      <c r="E71">
        <v>0</v>
      </c>
      <c r="F71" t="s">
        <v>13</v>
      </c>
      <c r="G71">
        <v>0</v>
      </c>
      <c r="H71" t="s">
        <v>13</v>
      </c>
      <c r="I71">
        <v>4</v>
      </c>
      <c r="J71" t="s">
        <v>12</v>
      </c>
      <c r="K71">
        <v>4</v>
      </c>
      <c r="L71">
        <v>4</v>
      </c>
      <c r="M71">
        <v>0</v>
      </c>
    </row>
    <row r="72" spans="1:13" hidden="1" x14ac:dyDescent="0.2">
      <c r="A72" t="s">
        <v>149</v>
      </c>
      <c r="B72" s="2" t="s">
        <v>138</v>
      </c>
      <c r="C72" s="5"/>
      <c r="D72">
        <v>4</v>
      </c>
      <c r="E72">
        <v>0</v>
      </c>
      <c r="F72" t="s">
        <v>13</v>
      </c>
      <c r="G72">
        <v>0</v>
      </c>
      <c r="H72" t="s">
        <v>13</v>
      </c>
      <c r="I72">
        <v>4</v>
      </c>
      <c r="J72" t="s">
        <v>12</v>
      </c>
      <c r="K72">
        <v>4</v>
      </c>
      <c r="L72">
        <v>4</v>
      </c>
      <c r="M72">
        <v>0</v>
      </c>
    </row>
    <row r="73" spans="1:13" hidden="1" x14ac:dyDescent="0.2">
      <c r="A73" t="s">
        <v>150</v>
      </c>
      <c r="B73" s="3" t="s">
        <v>117</v>
      </c>
      <c r="C73" s="6"/>
      <c r="D73">
        <v>3</v>
      </c>
      <c r="E73">
        <v>3</v>
      </c>
      <c r="F73" t="s">
        <v>12</v>
      </c>
      <c r="G73">
        <v>0</v>
      </c>
      <c r="H73" t="s">
        <v>13</v>
      </c>
      <c r="I73">
        <v>2</v>
      </c>
      <c r="J73" t="s">
        <v>151</v>
      </c>
      <c r="K73">
        <v>0</v>
      </c>
      <c r="L73">
        <v>3</v>
      </c>
      <c r="M73">
        <v>1</v>
      </c>
    </row>
    <row r="74" spans="1:13" hidden="1" x14ac:dyDescent="0.2">
      <c r="A74" t="s">
        <v>152</v>
      </c>
      <c r="B74" s="2" t="s">
        <v>18</v>
      </c>
      <c r="C74" s="5"/>
      <c r="D74">
        <v>3</v>
      </c>
      <c r="E74">
        <v>3</v>
      </c>
      <c r="F74" t="s">
        <v>12</v>
      </c>
      <c r="G74">
        <v>0</v>
      </c>
      <c r="H74" t="s">
        <v>13</v>
      </c>
      <c r="I74">
        <v>2</v>
      </c>
      <c r="J74" t="s">
        <v>151</v>
      </c>
      <c r="K74">
        <v>0</v>
      </c>
      <c r="L74">
        <v>3</v>
      </c>
      <c r="M74">
        <v>1</v>
      </c>
    </row>
    <row r="75" spans="1:13" hidden="1" x14ac:dyDescent="0.2">
      <c r="A75" t="s">
        <v>153</v>
      </c>
      <c r="B75" s="3" t="s">
        <v>82</v>
      </c>
      <c r="C75" s="6"/>
      <c r="D75">
        <v>2</v>
      </c>
      <c r="E75">
        <v>2</v>
      </c>
      <c r="F75" t="s">
        <v>12</v>
      </c>
      <c r="G75">
        <v>0</v>
      </c>
      <c r="H75" t="s">
        <v>13</v>
      </c>
      <c r="I75">
        <v>1</v>
      </c>
      <c r="J75" t="s">
        <v>154</v>
      </c>
      <c r="K75">
        <v>0</v>
      </c>
      <c r="L75">
        <v>2</v>
      </c>
      <c r="M75">
        <v>1</v>
      </c>
    </row>
    <row r="76" spans="1:13" hidden="1" x14ac:dyDescent="0.2">
      <c r="A76" t="s">
        <v>155</v>
      </c>
      <c r="B76" s="3" t="s">
        <v>90</v>
      </c>
      <c r="C76" s="6"/>
      <c r="D76">
        <v>1</v>
      </c>
      <c r="E76">
        <v>1</v>
      </c>
      <c r="F76" t="s">
        <v>12</v>
      </c>
      <c r="G76">
        <v>0</v>
      </c>
      <c r="H76" t="s">
        <v>13</v>
      </c>
      <c r="I76">
        <v>1</v>
      </c>
      <c r="J76" t="s">
        <v>12</v>
      </c>
      <c r="K76">
        <v>0</v>
      </c>
      <c r="L76">
        <v>1</v>
      </c>
      <c r="M76">
        <v>0</v>
      </c>
    </row>
    <row r="77" spans="1:13" hidden="1" x14ac:dyDescent="0.2">
      <c r="A77" t="s">
        <v>156</v>
      </c>
      <c r="B77" s="3" t="s">
        <v>24</v>
      </c>
      <c r="C77" s="6"/>
      <c r="D77">
        <v>1</v>
      </c>
      <c r="E77">
        <v>0</v>
      </c>
      <c r="F77" t="s">
        <v>13</v>
      </c>
      <c r="G77">
        <v>0</v>
      </c>
      <c r="H77" t="s">
        <v>13</v>
      </c>
      <c r="I77">
        <v>1</v>
      </c>
      <c r="J77" t="s">
        <v>12</v>
      </c>
      <c r="K77">
        <v>1</v>
      </c>
      <c r="L77">
        <v>1</v>
      </c>
      <c r="M77">
        <v>0</v>
      </c>
    </row>
    <row r="78" spans="1:13" hidden="1" x14ac:dyDescent="0.2">
      <c r="A78" t="s">
        <v>157</v>
      </c>
      <c r="B78" s="2" t="s">
        <v>86</v>
      </c>
      <c r="C78" s="5"/>
      <c r="D78">
        <v>1</v>
      </c>
      <c r="E78">
        <v>0</v>
      </c>
      <c r="F78" t="s">
        <v>13</v>
      </c>
      <c r="G78">
        <v>0</v>
      </c>
      <c r="H78" t="s">
        <v>13</v>
      </c>
      <c r="I78">
        <v>1</v>
      </c>
      <c r="J78" t="s">
        <v>12</v>
      </c>
      <c r="K78">
        <v>1</v>
      </c>
      <c r="L78">
        <v>1</v>
      </c>
      <c r="M78">
        <v>0</v>
      </c>
    </row>
    <row r="79" spans="1:13" x14ac:dyDescent="0.2">
      <c r="A79" s="4"/>
      <c r="B79" s="2" t="s">
        <v>60</v>
      </c>
      <c r="C79" s="5" t="str">
        <f t="shared" ref="C79:C83" si="9">VLOOKUP(B79,$A$2:$A$83,1,FALSE)</f>
        <v>https://www.visel.it/it/</v>
      </c>
    </row>
    <row r="80" spans="1:13" x14ac:dyDescent="0.2">
      <c r="B80" s="2" t="s">
        <v>108</v>
      </c>
      <c r="C80" s="5" t="str">
        <f t="shared" si="9"/>
        <v>https://schuwatec.com/</v>
      </c>
    </row>
    <row r="81" spans="2:3" x14ac:dyDescent="0.2">
      <c r="B81" s="3" t="s">
        <v>21</v>
      </c>
      <c r="C81" s="5" t="str">
        <f t="shared" si="9"/>
        <v>https://www.vliesstoff.de/</v>
      </c>
    </row>
    <row r="82" spans="2:3" x14ac:dyDescent="0.2">
      <c r="B82" s="2" t="s">
        <v>131</v>
      </c>
      <c r="C82" s="5" t="str">
        <f t="shared" si="9"/>
        <v>https://www.v-sinne-gin.de/lohnbrennen-private-label-gin/</v>
      </c>
    </row>
    <row r="83" spans="2:3" x14ac:dyDescent="0.2">
      <c r="B83" s="3" t="s">
        <v>116</v>
      </c>
      <c r="C83" s="5" t="str">
        <f t="shared" si="9"/>
        <v>http://www.getriebedienst-altona.de/</v>
      </c>
    </row>
  </sheetData>
  <autoFilter ref="A1:M78" xr:uid="{00000000-0001-0000-0000-000000000000}">
    <filterColumn colId="4">
      <filters>
        <filter val="10"/>
        <filter val="11"/>
        <filter val="12"/>
        <filter val="13"/>
        <filter val="14"/>
        <filter val="15"/>
        <filter val="20"/>
        <filter val="204"/>
        <filter val="25"/>
        <filter val="29"/>
        <filter val="32"/>
        <filter val="36"/>
        <filter val="37"/>
        <filter val="39"/>
        <filter val="41"/>
        <filter val="42"/>
        <filter val="43"/>
        <filter val="44"/>
        <filter val="45"/>
        <filter val="5"/>
        <filter val="53"/>
        <filter val="54"/>
        <filter val="56"/>
        <filter val="6"/>
        <filter val="61"/>
        <filter val="66"/>
        <filter val="8"/>
        <filter val="9"/>
      </filters>
    </filterColumn>
    <sortState xmlns:xlrd2="http://schemas.microsoft.com/office/spreadsheetml/2017/richdata2" ref="A2:M64">
      <sortCondition ref="A1:A78"/>
    </sortState>
  </autoFilter>
  <hyperlinks>
    <hyperlink ref="B2" r:id="rId1" xr:uid="{19749F3C-EDB4-304E-9BD0-F15D4E485092}"/>
    <hyperlink ref="B3" r:id="rId2" xr:uid="{9614562E-664F-C741-9C38-1CAA2DDC5356}"/>
    <hyperlink ref="B4" r:id="rId3" display="http://prinzing-brennschneidtechnik.de/" xr:uid="{29B2D63F-6C90-8D41-8125-49698138A204}"/>
    <hyperlink ref="B5" r:id="rId4" xr:uid="{D59B6B23-9FF6-324A-95C2-F0E32A6CA648}"/>
    <hyperlink ref="B6" r:id="rId5" display="http://www.best-company-video.tv/" xr:uid="{1CBAFB9B-13C2-C04C-A742-867D698939F1}"/>
    <hyperlink ref="B7" r:id="rId6" xr:uid="{90097211-3E06-6547-A91D-4BEB62AC5FF1}"/>
    <hyperlink ref="B8" r:id="rId7" display="http://www.cla.ch/" xr:uid="{E17F230B-6467-EA45-A8E1-496D960EA6C6}"/>
    <hyperlink ref="B9" r:id="rId8" display="http://www.coronex.de/" xr:uid="{68664B5D-C0A1-104C-BC36-A41B7773DBDB}"/>
    <hyperlink ref="B10" r:id="rId9" xr:uid="{89A6EC8F-8939-084E-94B7-EEC9EF1E8694}"/>
    <hyperlink ref="B11" r:id="rId10" xr:uid="{CA3F7B28-A236-AD40-9318-EE35DF378469}"/>
    <hyperlink ref="B12" r:id="rId11" xr:uid="{A02C8060-6FEA-6E42-BBE8-BC4E0B914A42}"/>
    <hyperlink ref="B13" r:id="rId12" xr:uid="{BD77F04F-5929-EC4A-9259-CA1FCA07BD0B}"/>
    <hyperlink ref="B14" r:id="rId13" display="http://www.hafnerag.ch/" xr:uid="{13BB4C7D-5BAD-264A-9EEE-395006A8651A}"/>
    <hyperlink ref="B15" r:id="rId14" xr:uid="{2DF32BFB-34DE-8645-A9FE-774D9125FA67}"/>
    <hyperlink ref="B16" r:id="rId15" xr:uid="{E7FB4550-A837-2E49-97AE-474169AB2FB7}"/>
    <hyperlink ref="B17" r:id="rId16" xr:uid="{BAC726BC-6EF6-A44D-975C-D37D64B850A0}"/>
    <hyperlink ref="B18" r:id="rId17" xr:uid="{AE5BEDD9-A25E-0B45-BF14-ABEBCE0B30DD}"/>
    <hyperlink ref="B19" r:id="rId18" display="http://www.hoesmann.de/" xr:uid="{B5424A20-4883-D640-82CD-3B069810123C}"/>
    <hyperlink ref="B20" r:id="rId19" display="http://www.hsl-lindlar.de/" xr:uid="{7E8AB946-62C7-2946-836F-60CD0416D63D}"/>
    <hyperlink ref="B21" r:id="rId20" display="http://www.holzkunst-kaden.de/" xr:uid="{2ACAEC9F-57D9-AE45-9D24-4D84DDA0F276}"/>
    <hyperlink ref="B22" r:id="rId21" display="http://www.conhexa.com/" xr:uid="{A4E3E341-66E4-6E41-84AF-CF97B755487D}"/>
    <hyperlink ref="B23" r:id="rId22" xr:uid="{14FFDAF6-84EB-A244-9D18-3813D49E3C5F}"/>
    <hyperlink ref="B24" r:id="rId23" display="http://www.goebel-lenze.de/" xr:uid="{4D5788C9-D332-B74D-9998-1E51FA71C18A}"/>
    <hyperlink ref="B25" r:id="rId24" xr:uid="{79DEB2E4-5E5F-F943-BCCD-3CAE24886AAA}"/>
    <hyperlink ref="B26" r:id="rId25" xr:uid="{92801099-9D8E-1C4A-9265-73B8700F4595}"/>
    <hyperlink ref="B27" r:id="rId26" xr:uid="{DAF42656-1E47-B145-B593-8E8D4F186AE8}"/>
    <hyperlink ref="B28" r:id="rId27" xr:uid="{F77D9120-9B72-9B48-A49D-6244EECBAF57}"/>
    <hyperlink ref="B29" r:id="rId28" xr:uid="{90456983-CAE1-6149-BF42-A3BB119C382E}"/>
    <hyperlink ref="B30" r:id="rId29" xr:uid="{6913744B-EDA2-B841-8BC6-A3E9F666FC74}"/>
    <hyperlink ref="B31" r:id="rId30" xr:uid="{3EE3C918-CEF2-3049-8EF7-F781E805CE0A}"/>
    <hyperlink ref="B32" r:id="rId31" xr:uid="{F72F258C-2F1B-EF49-9B77-8C6495A74710}"/>
    <hyperlink ref="B33" r:id="rId32" xr:uid="{B8D54F1F-77E0-6447-9DE7-B8935A612AF0}"/>
    <hyperlink ref="B34" r:id="rId33" xr:uid="{0FDD2A8A-7081-504F-835B-B311B553B740}"/>
    <hyperlink ref="B35" r:id="rId34" display="http://www.scholze-germany.de/" xr:uid="{8793ED30-43F0-E84E-9E0A-784E35FFF390}"/>
    <hyperlink ref="B36" r:id="rId35" xr:uid="{3F2C7621-4C5D-BB43-9EF4-B3D452189875}"/>
    <hyperlink ref="B37" r:id="rId36" xr:uid="{EEE998CC-3B70-7C40-B6E8-6F3C18294898}"/>
    <hyperlink ref="B38" r:id="rId37" xr:uid="{84A75365-DE95-E047-BE8A-374D2B98B90D}"/>
    <hyperlink ref="B39" r:id="rId38" display="http://www.martingroup.it/" xr:uid="{C5FF2146-DB2F-1340-842D-207393DE9D07}"/>
    <hyperlink ref="B40" r:id="rId39" display="http://www.ormaserramenti.com/" xr:uid="{015F7ADC-2641-9E44-8F5E-909CE17BAB91}"/>
    <hyperlink ref="B41" r:id="rId40" xr:uid="{21947687-7187-E344-AD12-513A03F79CDB}"/>
    <hyperlink ref="B42" r:id="rId41" display="http://www.paulundco.de/" xr:uid="{C9DDCF1B-2DCA-CC44-B174-99A2771A373E}"/>
    <hyperlink ref="B43" r:id="rId42" display="http://www.pjschulz.de/" xr:uid="{9E8BCA51-3411-4447-85D8-962A1E63797B}"/>
    <hyperlink ref="B44" r:id="rId43" xr:uid="{EEE9E109-DEB1-D04D-B557-C050098C3A88}"/>
    <hyperlink ref="B45" r:id="rId44" xr:uid="{D59B2691-5FD8-3A40-8990-66226B96C6ED}"/>
    <hyperlink ref="B46" r:id="rId45" display="http://www.rvt-systeme.de/" xr:uid="{7ABC74DF-A821-3E46-A7A7-5535BEDE03E5}"/>
    <hyperlink ref="B47" r:id="rId46" display="http://www.merkan.at/" xr:uid="{C7DDE642-E6D0-194E-9D89-DA5804AE67AC}"/>
    <hyperlink ref="B48" r:id="rId47" xr:uid="{DC7C00CE-F609-C84A-8277-0090F85606CB}"/>
    <hyperlink ref="B49" r:id="rId48" display="https://www.dunyatekstil.net/" xr:uid="{3FD2BF83-D0EF-C140-A678-6490C62A236C}"/>
    <hyperlink ref="B50" r:id="rId49" display="http://coppolaspa.it/" xr:uid="{FEBBEEE3-5F72-D74B-A484-5D4602B99B45}"/>
    <hyperlink ref="B51" r:id="rId50" xr:uid="{46F68724-5226-F244-B803-8D5E58594951}"/>
    <hyperlink ref="B52" r:id="rId51" display="http://www.safi-valves.com/" xr:uid="{CDE0D40F-0C78-B249-872F-B860B9973AA9}"/>
    <hyperlink ref="B53" r:id="rId52" display="http://www.haack-jalousien.de/" xr:uid="{279D9856-C33C-9C4F-9822-1D4B3BE4FFB8}"/>
    <hyperlink ref="B54" r:id="rId53" xr:uid="{D6180215-F3EA-F649-892F-DCFAF348080F}"/>
    <hyperlink ref="B55" r:id="rId54" xr:uid="{7FEDCF87-F838-734C-B8DC-0579373161F4}"/>
    <hyperlink ref="B56" r:id="rId55" xr:uid="{5005F60E-5F57-9A42-9D26-EE991761336D}"/>
    <hyperlink ref="B57" r:id="rId56" display="http://www.teddington.de/" xr:uid="{6D0E8827-9EFB-604B-AC6F-93E2327B6BAA}"/>
    <hyperlink ref="B58" r:id="rId57" xr:uid="{BC0F0013-08F3-124A-823E-53FDB439D526}"/>
    <hyperlink ref="B59" r:id="rId58" xr:uid="{DC76F105-BBF5-B04B-9646-1083085A1D03}"/>
    <hyperlink ref="B60" r:id="rId59" xr:uid="{08C26F6D-3775-2A47-AB24-A72F768B1322}"/>
    <hyperlink ref="B61" r:id="rId60" xr:uid="{C666E458-360B-D74C-BA59-9EEC92B0C526}"/>
    <hyperlink ref="B62" r:id="rId61" xr:uid="{362AD744-594B-9545-911A-CDC43552893F}"/>
    <hyperlink ref="B63" r:id="rId62" xr:uid="{6B0E2EEE-67EE-454A-8C74-DE8D12B5D8A2}"/>
    <hyperlink ref="B64" r:id="rId63" xr:uid="{AEBFC22D-E0DB-164C-95E8-2B604F0AC66F}"/>
    <hyperlink ref="B65" r:id="rId64" display="http://www.neuberger-holz.at/" xr:uid="{F6BC86B5-DB30-9B40-9732-9999A637EC44}"/>
    <hyperlink ref="B66" r:id="rId65" xr:uid="{DF7F8FA9-C1E4-204C-8379-6DF65F4B005A}"/>
    <hyperlink ref="B67" r:id="rId66" xr:uid="{699D038F-EE4F-894F-9AA4-2456A748DB83}"/>
    <hyperlink ref="B68" r:id="rId67" display="http://www.torneriaromans.com/" xr:uid="{3E7FCD28-BD32-8544-B8BB-40F415CE6817}"/>
    <hyperlink ref="B69" r:id="rId68" display="https://www.digel-sticktech.com/" xr:uid="{184DE1C4-90B3-2C41-A2E7-12AC87AD39B4}"/>
    <hyperlink ref="B70" r:id="rId69" xr:uid="{77867E62-D0CA-EF48-8184-4E8D7D2D4B94}"/>
    <hyperlink ref="B71" r:id="rId70" xr:uid="{AA9AD626-A7E7-6F48-AA33-C11F7E109C32}"/>
    <hyperlink ref="B72" r:id="rId71" xr:uid="{76BEE967-D4E0-0348-A1A7-D2EAFAF03959}"/>
    <hyperlink ref="B73" r:id="rId72" xr:uid="{DD93841B-890E-AE45-9FB0-B31AF4D2CCA8}"/>
    <hyperlink ref="B74" r:id="rId73" xr:uid="{DBEE8F64-D474-824E-A662-52E3A5069904}"/>
    <hyperlink ref="B75" r:id="rId74" xr:uid="{3CF71EBF-F743-034B-A892-D4D988B628CD}"/>
    <hyperlink ref="B76" r:id="rId75" xr:uid="{51F299DC-CF1E-E249-B855-7432DD84B439}"/>
    <hyperlink ref="B77" r:id="rId76" xr:uid="{193FBE53-1587-2045-977E-C0B98C56272C}"/>
    <hyperlink ref="B78" r:id="rId77" xr:uid="{21A285FC-D533-044E-9C32-5AA7983C408E}"/>
    <hyperlink ref="B80" r:id="rId78" xr:uid="{A26365B1-927A-174B-ADB4-157F218A934E}"/>
    <hyperlink ref="B81" r:id="rId79" xr:uid="{E1ECAE14-0680-1847-975D-EA6B4071694A}"/>
    <hyperlink ref="B82" r:id="rId80" xr:uid="{96D2C50F-C9EB-A146-AC4B-648C3263C67E}"/>
    <hyperlink ref="B79" r:id="rId81" xr:uid="{168E37CC-E18D-8343-94B8-EC33564F5FB9}"/>
    <hyperlink ref="B83" r:id="rId82" xr:uid="{376D2EA0-1AA5-F144-A9FD-EC8974A79F2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Lou, Elena</cp:lastModifiedBy>
  <dcterms:created xsi:type="dcterms:W3CDTF">2025-12-15T11:29:15Z</dcterms:created>
  <dcterms:modified xsi:type="dcterms:W3CDTF">2025-12-15T11:48:25Z</dcterms:modified>
</cp:coreProperties>
</file>